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outliers_trap" sheetId="1" state="visible" r:id="rId1"/>
    <sheet xmlns:r="http://schemas.openxmlformats.org/officeDocument/2006/relationships" name="คำอธิบายข้อผิดพลา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Noto Sans Thai"/>
      <b val="1"/>
      <color rgb="00FFFFFF"/>
      <sz val="10"/>
    </font>
    <font>
      <name val="Noto Sans Thai"/>
      <color rgb="000F172A"/>
      <sz val="10"/>
    </font>
    <font>
      <name val="Noto Sans Thai"/>
      <b val="1"/>
      <color rgb="009F1239"/>
      <sz val="10"/>
    </font>
    <font>
      <name val="Noto Sans Thai"/>
      <b val="1"/>
      <color rgb="000F172A"/>
      <sz val="10"/>
    </font>
    <font>
      <name val="Noto Sans Thai"/>
      <b val="1"/>
      <color rgb="00BE123C"/>
      <sz val="11"/>
    </font>
    <font>
      <name val="Noto Sans Thai"/>
      <b val="1"/>
      <color rgb="0015803D"/>
      <sz val="11"/>
    </font>
    <font>
      <name val="Noto Sans Thai"/>
      <i val="1"/>
      <color rgb="0064748B"/>
      <sz val="9"/>
    </font>
    <font>
      <name val="Noto Sans Thai"/>
      <b val="1"/>
      <color rgb="001E1B4B"/>
      <sz val="13"/>
    </font>
    <font>
      <name val="Noto Sans Thai"/>
      <i val="1"/>
      <color rgb="004338CA"/>
      <sz val="10"/>
    </font>
    <font>
      <name val="Noto Sans Thai"/>
      <color rgb="00334155"/>
      <sz val="10"/>
    </font>
  </fonts>
  <fills count="8">
    <fill>
      <patternFill/>
    </fill>
    <fill>
      <patternFill patternType="gray125"/>
    </fill>
    <fill>
      <patternFill patternType="solid">
        <fgColor rgb="003730A3"/>
        <bgColor rgb="003730A3"/>
      </patternFill>
    </fill>
    <fill>
      <patternFill patternType="solid">
        <fgColor rgb="00FFE4E6"/>
        <bgColor rgb="00FFE4E6"/>
      </patternFill>
    </fill>
    <fill>
      <patternFill patternType="solid">
        <fgColor rgb="00FECDD3"/>
        <bgColor rgb="00FECDD3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3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0" pivotButton="0" quotePrefix="0" xfId="0"/>
    <xf numFmtId="4" fontId="5" fillId="3" borderId="0" pivotButton="0" quotePrefix="0" xfId="0"/>
    <xf numFmtId="0" fontId="7" fillId="0" borderId="0" pivotButton="0" quotePrefix="0" xfId="0"/>
    <xf numFmtId="4" fontId="6" fillId="5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6" borderId="0" pivotButton="0" quotePrefix="0" xfId="0"/>
    <xf numFmtId="0" fontId="10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horizontal="center"/>
    </xf>
    <xf numFmtId="0" fontId="4" fillId="5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3" customWidth="1" min="4" max="4"/>
    <col width="14" customWidth="1" min="5" max="5"/>
    <col width="24" customWidth="1" min="6" max="6"/>
    <col width="20" customWidth="1" min="7" max="7"/>
    <col width="16" customWidth="1" min="8" max="8"/>
    <col width="58" customWidth="1" min="9" max="9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Product_Name</t>
        </is>
      </c>
      <c r="E1" s="1" t="inlineStr">
        <is>
          <t>Unit_Price</t>
        </is>
      </c>
      <c r="F1" s="1" t="inlineStr">
        <is>
          <t>Quantity</t>
        </is>
      </c>
      <c r="G1" s="1" t="inlineStr">
        <is>
          <t>Total_Amount</t>
        </is>
      </c>
      <c r="H1" s="1" t="inlineStr">
        <is>
          <t>Discount_Pct</t>
        </is>
      </c>
      <c r="I1" s="1" t="inlineStr">
        <is>
          <t>Note_Outlier_Audit</t>
        </is>
      </c>
    </row>
    <row r="2">
      <c r="A2" s="2" t="inlineStr">
        <is>
          <t>ORD-701</t>
        </is>
      </c>
      <c r="B2" s="2" t="inlineStr">
        <is>
          <t>2026-03-01</t>
        </is>
      </c>
      <c r="C2" s="3" t="inlineStr">
        <is>
          <t>คุณวิศรุต</t>
        </is>
      </c>
      <c r="D2" s="3" t="inlineStr">
        <is>
          <t>เสื้อยืด Oversize</t>
        </is>
      </c>
      <c r="E2" s="4" t="n">
        <v>350</v>
      </c>
      <c r="F2" s="4" t="n">
        <v>1</v>
      </c>
      <c r="G2" s="4" t="n">
        <v>350</v>
      </c>
      <c r="H2" s="2" t="inlineStr">
        <is>
          <t>0%</t>
        </is>
      </c>
      <c r="I2" s="3" t="inlineStr">
        <is>
          <t>ปกติ</t>
        </is>
      </c>
    </row>
    <row r="3">
      <c r="A3" s="2" t="inlineStr">
        <is>
          <t>ORD-702</t>
        </is>
      </c>
      <c r="B3" s="2" t="inlineStr">
        <is>
          <t>2026-03-01</t>
        </is>
      </c>
      <c r="C3" s="3" t="inlineStr">
        <is>
          <t>คุณนารี</t>
        </is>
      </c>
      <c r="D3" s="3" t="inlineStr">
        <is>
          <t>กางเกงยีนส์คาร์โก้</t>
        </is>
      </c>
      <c r="E3" s="4" t="n">
        <v>890</v>
      </c>
      <c r="F3" s="4" t="n">
        <v>2</v>
      </c>
      <c r="G3" s="4" t="n">
        <v>1780</v>
      </c>
      <c r="H3" s="2" t="inlineStr">
        <is>
          <t>5%</t>
        </is>
      </c>
      <c r="I3" s="3" t="inlineStr">
        <is>
          <t>ปกติ</t>
        </is>
      </c>
    </row>
    <row r="4">
      <c r="A4" s="5" t="inlineStr">
        <is>
          <t>ORD-703</t>
        </is>
      </c>
      <c r="B4" s="5" t="inlineStr">
        <is>
          <t>2026-03-01</t>
        </is>
      </c>
      <c r="C4" s="6" t="inlineStr">
        <is>
          <t>คุณธนาคาร</t>
        </is>
      </c>
      <c r="D4" s="6" t="inlineStr">
        <is>
          <t>เดรสผ้าซาติน</t>
        </is>
      </c>
      <c r="E4" s="7" t="n">
        <v>450</v>
      </c>
      <c r="F4" s="7" t="n">
        <v>999</v>
      </c>
      <c r="G4" s="7" t="n">
        <v>449550</v>
      </c>
      <c r="H4" s="8" t="inlineStr">
        <is>
          <t>0%</t>
        </is>
      </c>
      <c r="I4" s="6" t="inlineStr">
        <is>
          <t>Outlier! คีย์จำนวนเบิ้ล 999 ชิ้น (ยอดพุ่ง 4 แสน)</t>
        </is>
      </c>
    </row>
    <row r="5">
      <c r="A5" s="2" t="inlineStr">
        <is>
          <t>ORD-704</t>
        </is>
      </c>
      <c r="B5" s="2" t="inlineStr">
        <is>
          <t>2026-03-02</t>
        </is>
      </c>
      <c r="C5" s="3" t="inlineStr">
        <is>
          <t>คุณศิริ</t>
        </is>
      </c>
      <c r="D5" s="3" t="inlineStr">
        <is>
          <t>เสื้อครอปไหมพรม</t>
        </is>
      </c>
      <c r="E5" s="4" t="n">
        <v>290</v>
      </c>
      <c r="F5" s="4" t="n">
        <v>1</v>
      </c>
      <c r="G5" s="4" t="n">
        <v>290</v>
      </c>
      <c r="H5" s="2" t="inlineStr">
        <is>
          <t>0%</t>
        </is>
      </c>
      <c r="I5" s="3" t="inlineStr">
        <is>
          <t>ปกติ</t>
        </is>
      </c>
    </row>
    <row r="6">
      <c r="A6" s="5" t="inlineStr">
        <is>
          <t>ORD-705</t>
        </is>
      </c>
      <c r="B6" s="5" t="inlineStr">
        <is>
          <t>2026-03-02</t>
        </is>
      </c>
      <c r="C6" s="6" t="inlineStr">
        <is>
          <t>คุณพงศธร</t>
        </is>
      </c>
      <c r="D6" s="6" t="inlineStr">
        <is>
          <t>กางเกงสแล็คทำงาน</t>
        </is>
      </c>
      <c r="E6" s="7" t="n">
        <v>-690</v>
      </c>
      <c r="F6" s="7" t="n">
        <v>1</v>
      </c>
      <c r="G6" s="7" t="n">
        <v>-690</v>
      </c>
      <c r="H6" s="8" t="inlineStr">
        <is>
          <t>0%</t>
        </is>
      </c>
      <c r="I6" s="6" t="inlineStr">
        <is>
          <t>Outlier! ราคาสินค้าติดลบ -690 บาท</t>
        </is>
      </c>
    </row>
    <row r="7">
      <c r="A7" s="2" t="inlineStr">
        <is>
          <t>ORD-706</t>
        </is>
      </c>
      <c r="B7" s="2" t="inlineStr">
        <is>
          <t>2026-03-02</t>
        </is>
      </c>
      <c r="C7" s="3" t="inlineStr">
        <is>
          <t>คุณมาลินี</t>
        </is>
      </c>
      <c r="D7" s="3" t="inlineStr">
        <is>
          <t>เสื้อยืด Oversize</t>
        </is>
      </c>
      <c r="E7" s="4" t="n">
        <v>350</v>
      </c>
      <c r="F7" s="4" t="n">
        <v>2</v>
      </c>
      <c r="G7" s="4" t="n">
        <v>700</v>
      </c>
      <c r="H7" s="2" t="inlineStr">
        <is>
          <t>10%</t>
        </is>
      </c>
      <c r="I7" s="3" t="inlineStr">
        <is>
          <t>ปกติ</t>
        </is>
      </c>
    </row>
    <row r="8">
      <c r="A8" s="2" t="inlineStr">
        <is>
          <t>ORD-707</t>
        </is>
      </c>
      <c r="B8" s="2" t="inlineStr">
        <is>
          <t>2026-03-03</t>
        </is>
      </c>
      <c r="C8" s="3" t="inlineStr">
        <is>
          <t>คุณจิรศักดิ์</t>
        </is>
      </c>
      <c r="D8" s="3" t="inlineStr">
        <is>
          <t>เสื้อฮู้ดดี้แขนยาว</t>
        </is>
      </c>
      <c r="E8" s="4" t="n">
        <v>650</v>
      </c>
      <c r="F8" s="4" t="n">
        <v>1</v>
      </c>
      <c r="G8" s="4" t="n">
        <v>650</v>
      </c>
      <c r="H8" s="2" t="inlineStr">
        <is>
          <t>0%</t>
        </is>
      </c>
      <c r="I8" s="3" t="inlineStr">
        <is>
          <t>ปกติ</t>
        </is>
      </c>
    </row>
    <row r="9">
      <c r="A9" s="5" t="inlineStr">
        <is>
          <t>ORD-708</t>
        </is>
      </c>
      <c r="B9" s="5" t="inlineStr">
        <is>
          <t>2026-03-03</t>
        </is>
      </c>
      <c r="C9" s="6" t="inlineStr">
        <is>
          <t>คุณพรสวรรค์</t>
        </is>
      </c>
      <c r="D9" s="6" t="inlineStr">
        <is>
          <t>กระเป๋าผ้าแคนวาส</t>
        </is>
      </c>
      <c r="E9" s="7" t="n">
        <v>199</v>
      </c>
      <c r="F9" s="7" t="n">
        <v>1</v>
      </c>
      <c r="G9" s="7" t="n">
        <v>199</v>
      </c>
      <c r="H9" s="8" t="inlineStr">
        <is>
          <t>150%</t>
        </is>
      </c>
      <c r="I9" s="6" t="inlineStr">
        <is>
          <t>Outlier! ส่วนลดหลุดโลก 150% (เกิน 100%)</t>
        </is>
      </c>
    </row>
    <row r="10">
      <c r="A10" s="2" t="inlineStr">
        <is>
          <t>ORD-709</t>
        </is>
      </c>
      <c r="B10" s="2" t="inlineStr">
        <is>
          <t>2026-03-03</t>
        </is>
      </c>
      <c r="C10" s="3" t="inlineStr">
        <is>
          <t>คุณทินกร</t>
        </is>
      </c>
      <c r="D10" s="3" t="inlineStr">
        <is>
          <t>กางเกงยีนส์ขากระบอก</t>
        </is>
      </c>
      <c r="E10" s="4" t="n">
        <v>890</v>
      </c>
      <c r="F10" s="4" t="n">
        <v>1</v>
      </c>
      <c r="G10" s="4" t="n">
        <v>890</v>
      </c>
      <c r="H10" s="2" t="inlineStr">
        <is>
          <t>0%</t>
        </is>
      </c>
      <c r="I10" s="3" t="inlineStr">
        <is>
          <t>ปกติ</t>
        </is>
      </c>
    </row>
    <row r="11">
      <c r="A11" s="2" t="inlineStr">
        <is>
          <t>ORD-710</t>
        </is>
      </c>
      <c r="B11" s="2" t="inlineStr">
        <is>
          <t>2026-03-04</t>
        </is>
      </c>
      <c r="C11" s="3" t="inlineStr">
        <is>
          <t>คุณอรอนงค์</t>
        </is>
      </c>
      <c r="D11" s="3" t="inlineStr">
        <is>
          <t>เดรสผ้าซาติน</t>
        </is>
      </c>
      <c r="E11" s="4" t="n">
        <v>450</v>
      </c>
      <c r="F11" s="4" t="n">
        <v>1</v>
      </c>
      <c r="G11" s="4" t="n">
        <v>450</v>
      </c>
      <c r="H11" s="2" t="inlineStr">
        <is>
          <t>0%</t>
        </is>
      </c>
      <c r="I11" s="3" t="inlineStr">
        <is>
          <t>ปกติ</t>
        </is>
      </c>
    </row>
    <row r="12">
      <c r="A12" s="2" t="inlineStr">
        <is>
          <t>ORD-711</t>
        </is>
      </c>
      <c r="B12" s="2" t="inlineStr">
        <is>
          <t>2026-03-04</t>
        </is>
      </c>
      <c r="C12" s="3" t="inlineStr">
        <is>
          <t>คุณเฉลิมชัย</t>
        </is>
      </c>
      <c r="D12" s="3" t="inlineStr">
        <is>
          <t>เสื้อเบลเซอร์ลำลอง</t>
        </is>
      </c>
      <c r="E12" s="4" t="n">
        <v>890</v>
      </c>
      <c r="F12" s="4" t="n">
        <v>2</v>
      </c>
      <c r="G12" s="4" t="n">
        <v>1780</v>
      </c>
      <c r="H12" s="2" t="inlineStr">
        <is>
          <t>5%</t>
        </is>
      </c>
      <c r="I12" s="3" t="inlineStr">
        <is>
          <t>ปกติ</t>
        </is>
      </c>
    </row>
    <row r="13">
      <c r="A13" s="2" t="inlineStr">
        <is>
          <t>ORD-712</t>
        </is>
      </c>
      <c r="B13" s="2" t="inlineStr">
        <is>
          <t>2026-03-04</t>
        </is>
      </c>
      <c r="C13" s="3" t="inlineStr">
        <is>
          <t>คุณกัญญารัตน์</t>
        </is>
      </c>
      <c r="D13" s="3" t="inlineStr">
        <is>
          <t>เสื้อยืด Oversize</t>
        </is>
      </c>
      <c r="E13" s="4" t="n">
        <v>350</v>
      </c>
      <c r="F13" s="4" t="n">
        <v>1</v>
      </c>
      <c r="G13" s="4" t="n">
        <v>350</v>
      </c>
      <c r="H13" s="2" t="inlineStr">
        <is>
          <t>0%</t>
        </is>
      </c>
      <c r="I13" s="3" t="inlineStr">
        <is>
          <t>ปกติ</t>
        </is>
      </c>
    </row>
    <row r="14">
      <c r="A14" s="5" t="inlineStr">
        <is>
          <t>ORD-713</t>
        </is>
      </c>
      <c r="B14" s="5" t="inlineStr">
        <is>
          <t>2026-03-05</t>
        </is>
      </c>
      <c r="C14" s="6" t="inlineStr">
        <is>
          <t>คุณมนตรี</t>
        </is>
      </c>
      <c r="D14" s="6" t="inlineStr">
        <is>
          <t>เสื้อโปโลคลาสสิก</t>
        </is>
      </c>
      <c r="E14" s="7" t="n">
        <v>450</v>
      </c>
      <c r="F14" s="7" t="n">
        <v>5000</v>
      </c>
      <c r="G14" s="7" t="n">
        <v>2250000</v>
      </c>
      <c r="H14" s="8" t="inlineStr">
        <is>
          <t>0%</t>
        </is>
      </c>
      <c r="I14" s="6" t="inlineStr">
        <is>
          <t>Outlier! คีย์ยอด 5,000 ตัว ยอดขายพุ่ง 2.2 ล้าน</t>
        </is>
      </c>
    </row>
    <row r="15">
      <c r="A15" s="2" t="inlineStr">
        <is>
          <t>ORD-714</t>
        </is>
      </c>
      <c r="B15" s="2" t="inlineStr">
        <is>
          <t>2026-03-05</t>
        </is>
      </c>
      <c r="C15" s="3" t="inlineStr">
        <is>
          <t>คุณจารุณี</t>
        </is>
      </c>
      <c r="D15" s="3" t="inlineStr">
        <is>
          <t>เสื้อครอปไหมพรม</t>
        </is>
      </c>
      <c r="E15" s="4" t="n">
        <v>290</v>
      </c>
      <c r="F15" s="4" t="n">
        <v>1</v>
      </c>
      <c r="G15" s="4" t="n">
        <v>290</v>
      </c>
      <c r="H15" s="2" t="inlineStr">
        <is>
          <t>0%</t>
        </is>
      </c>
      <c r="I15" s="3" t="inlineStr">
        <is>
          <t>ปกติ</t>
        </is>
      </c>
    </row>
    <row r="16">
      <c r="A16" s="2" t="inlineStr">
        <is>
          <t>ORD-715</t>
        </is>
      </c>
      <c r="B16" s="2" t="inlineStr">
        <is>
          <t>2026-03-05</t>
        </is>
      </c>
      <c r="C16" s="3" t="inlineStr">
        <is>
          <t>คุณอภิสิทธิ์</t>
        </is>
      </c>
      <c r="D16" s="3" t="inlineStr">
        <is>
          <t>กางเกงสแล็คทำงาน</t>
        </is>
      </c>
      <c r="E16" s="4" t="n">
        <v>690</v>
      </c>
      <c r="F16" s="4" t="n">
        <v>1</v>
      </c>
      <c r="G16" s="4" t="n">
        <v>690</v>
      </c>
      <c r="H16" s="2" t="inlineStr">
        <is>
          <t>0%</t>
        </is>
      </c>
      <c r="I16" s="3" t="inlineStr">
        <is>
          <t>ปกติ</t>
        </is>
      </c>
    </row>
    <row r="17">
      <c r="A17" s="2" t="inlineStr">
        <is>
          <t>ORD-716</t>
        </is>
      </c>
      <c r="B17" s="2" t="inlineStr">
        <is>
          <t>2026-03-06</t>
        </is>
      </c>
      <c r="C17" s="3" t="inlineStr">
        <is>
          <t>คุณสุดารัตน์</t>
        </is>
      </c>
      <c r="D17" s="3" t="inlineStr">
        <is>
          <t>เสื้อยืด Oversize</t>
        </is>
      </c>
      <c r="E17" s="4" t="n">
        <v>350</v>
      </c>
      <c r="F17" s="4" t="n">
        <v>2</v>
      </c>
      <c r="G17" s="4" t="n">
        <v>700</v>
      </c>
      <c r="H17" s="2" t="inlineStr">
        <is>
          <t>0%</t>
        </is>
      </c>
      <c r="I17" s="3" t="inlineStr">
        <is>
          <t>ปกติ</t>
        </is>
      </c>
    </row>
    <row r="18">
      <c r="A18" s="2" t="inlineStr">
        <is>
          <t>ORD-717</t>
        </is>
      </c>
      <c r="B18" s="2" t="inlineStr">
        <is>
          <t>2026-03-06</t>
        </is>
      </c>
      <c r="C18" s="3" t="inlineStr">
        <is>
          <t>คุณธเนศ</t>
        </is>
      </c>
      <c r="D18" s="3" t="inlineStr">
        <is>
          <t>กางเกงยีนส์คาร์โก้</t>
        </is>
      </c>
      <c r="E18" s="4" t="n">
        <v>890</v>
      </c>
      <c r="F18" s="4" t="n">
        <v>1</v>
      </c>
      <c r="G18" s="4" t="n">
        <v>890</v>
      </c>
      <c r="H18" s="2" t="inlineStr">
        <is>
          <t>5%</t>
        </is>
      </c>
      <c r="I18" s="3" t="inlineStr">
        <is>
          <t>ปกติ</t>
        </is>
      </c>
    </row>
    <row r="19">
      <c r="A19" s="5" t="inlineStr">
        <is>
          <t>ORD-718</t>
        </is>
      </c>
      <c r="B19" s="5" t="inlineStr">
        <is>
          <t>2026-03-06</t>
        </is>
      </c>
      <c r="C19" s="6" t="inlineStr">
        <is>
          <t>คุณวรรณา</t>
        </is>
      </c>
      <c r="D19" s="6" t="inlineStr">
        <is>
          <t>เดรสผ้าซาติน</t>
        </is>
      </c>
      <c r="E19" s="7" t="n">
        <v>450</v>
      </c>
      <c r="F19" s="7" t="n">
        <v>1</v>
      </c>
      <c r="G19" s="7" t="n">
        <v>-450</v>
      </c>
      <c r="H19" s="8" t="inlineStr">
        <is>
          <t>0%</t>
        </is>
      </c>
      <c r="I19" s="6" t="inlineStr">
        <is>
          <t>Outlier! ยอดรวมติดลบ -450 บาท</t>
        </is>
      </c>
    </row>
    <row r="20">
      <c r="A20" s="2" t="inlineStr">
        <is>
          <t>ORD-719</t>
        </is>
      </c>
      <c r="B20" s="2" t="inlineStr">
        <is>
          <t>2026-03-07</t>
        </is>
      </c>
      <c r="C20" s="3" t="inlineStr">
        <is>
          <t>คุณสุรศักดิ์</t>
        </is>
      </c>
      <c r="D20" s="3" t="inlineStr">
        <is>
          <t>เสื้อฮู้ดดี้แขนยาว</t>
        </is>
      </c>
      <c r="E20" s="4" t="n">
        <v>650</v>
      </c>
      <c r="F20" s="4" t="n">
        <v>2</v>
      </c>
      <c r="G20" s="4" t="n">
        <v>1300</v>
      </c>
      <c r="H20" s="2" t="inlineStr">
        <is>
          <t>0%</t>
        </is>
      </c>
      <c r="I20" s="3" t="inlineStr">
        <is>
          <t>ปกติ</t>
        </is>
      </c>
    </row>
    <row r="21">
      <c r="A21" s="2" t="inlineStr">
        <is>
          <t>ORD-720</t>
        </is>
      </c>
      <c r="B21" s="2" t="inlineStr">
        <is>
          <t>2026-03-07</t>
        </is>
      </c>
      <c r="C21" s="3" t="inlineStr">
        <is>
          <t>คุณปานทิพย์</t>
        </is>
      </c>
      <c r="D21" s="3" t="inlineStr">
        <is>
          <t>กระเป๋าผ้าแคนวาส</t>
        </is>
      </c>
      <c r="E21" s="4" t="n">
        <v>199</v>
      </c>
      <c r="F21" s="4" t="n">
        <v>1</v>
      </c>
      <c r="G21" s="4" t="n">
        <v>199</v>
      </c>
      <c r="H21" s="2" t="inlineStr">
        <is>
          <t>0%</t>
        </is>
      </c>
      <c r="I21" s="3" t="inlineStr">
        <is>
          <t>ปกติ</t>
        </is>
      </c>
    </row>
    <row r="22">
      <c r="A22" s="2" t="inlineStr">
        <is>
          <t>ORD-721</t>
        </is>
      </c>
      <c r="B22" s="2" t="inlineStr">
        <is>
          <t>2026-03-07</t>
        </is>
      </c>
      <c r="C22" s="3" t="inlineStr">
        <is>
          <t>คุณเกรียงเดช</t>
        </is>
      </c>
      <c r="D22" s="3" t="inlineStr">
        <is>
          <t>เสื้อเบลเซอร์ลำลอง</t>
        </is>
      </c>
      <c r="E22" s="4" t="n">
        <v>890</v>
      </c>
      <c r="F22" s="4" t="n">
        <v>1</v>
      </c>
      <c r="G22" s="4" t="n">
        <v>890</v>
      </c>
      <c r="H22" s="2" t="inlineStr">
        <is>
          <t>10%</t>
        </is>
      </c>
      <c r="I22" s="3" t="inlineStr">
        <is>
          <t>ปกติ</t>
        </is>
      </c>
    </row>
    <row r="23">
      <c r="A23" s="2" t="inlineStr">
        <is>
          <t>ORD-722</t>
        </is>
      </c>
      <c r="B23" s="2" t="inlineStr">
        <is>
          <t>2026-03-08</t>
        </is>
      </c>
      <c r="C23" s="3" t="inlineStr">
        <is>
          <t>คุณรพีพร</t>
        </is>
      </c>
      <c r="D23" s="3" t="inlineStr">
        <is>
          <t>เสื้อยืด Oversize</t>
        </is>
      </c>
      <c r="E23" s="4" t="n">
        <v>350</v>
      </c>
      <c r="F23" s="4" t="n">
        <v>1</v>
      </c>
      <c r="G23" s="4" t="n">
        <v>350</v>
      </c>
      <c r="H23" s="2" t="inlineStr">
        <is>
          <t>0%</t>
        </is>
      </c>
      <c r="I23" s="3" t="inlineStr">
        <is>
          <t>ปกติ</t>
        </is>
      </c>
    </row>
    <row r="24">
      <c r="A24" s="2" t="inlineStr">
        <is>
          <t>ORD-723</t>
        </is>
      </c>
      <c r="B24" s="2" t="inlineStr">
        <is>
          <t>2026-03-08</t>
        </is>
      </c>
      <c r="C24" s="3" t="inlineStr">
        <is>
          <t>คุณโสภณ</t>
        </is>
      </c>
      <c r="D24" s="3" t="inlineStr">
        <is>
          <t>เสื้อโปโลคลาสสิก</t>
        </is>
      </c>
      <c r="E24" s="4" t="n">
        <v>450</v>
      </c>
      <c r="F24" s="4" t="n">
        <v>1</v>
      </c>
      <c r="G24" s="4" t="n">
        <v>450</v>
      </c>
      <c r="H24" s="2" t="inlineStr">
        <is>
          <t>0%</t>
        </is>
      </c>
      <c r="I24" s="3" t="inlineStr">
        <is>
          <t>ปกติ</t>
        </is>
      </c>
    </row>
    <row r="25">
      <c r="A25" s="2" t="inlineStr">
        <is>
          <t>ORD-724</t>
        </is>
      </c>
      <c r="B25" s="2" t="inlineStr">
        <is>
          <t>2026-03-08</t>
        </is>
      </c>
      <c r="C25" s="3" t="inlineStr">
        <is>
          <t>คุณกานติมา</t>
        </is>
      </c>
      <c r="D25" s="3" t="inlineStr">
        <is>
          <t>กางเกงยีนส์ขากระบอก</t>
        </is>
      </c>
      <c r="E25" s="4" t="n">
        <v>890</v>
      </c>
      <c r="F25" s="4" t="n">
        <v>2</v>
      </c>
      <c r="G25" s="4" t="n">
        <v>1780</v>
      </c>
      <c r="H25" s="2" t="inlineStr">
        <is>
          <t>0%</t>
        </is>
      </c>
      <c r="I25" s="3" t="inlineStr">
        <is>
          <t>ปกติ</t>
        </is>
      </c>
    </row>
    <row r="26">
      <c r="A26" s="2" t="inlineStr">
        <is>
          <t>ORD-725</t>
        </is>
      </c>
      <c r="B26" s="2" t="inlineStr">
        <is>
          <t>2026-03-08</t>
        </is>
      </c>
      <c r="C26" s="3" t="inlineStr">
        <is>
          <t>คุณพิพัฒน์</t>
        </is>
      </c>
      <c r="D26" s="3" t="inlineStr">
        <is>
          <t>เสื้อยืด Oversize</t>
        </is>
      </c>
      <c r="E26" s="4" t="n">
        <v>350</v>
      </c>
      <c r="F26" s="4" t="n">
        <v>1</v>
      </c>
      <c r="G26" s="4" t="n">
        <v>350</v>
      </c>
      <c r="H26" s="2" t="inlineStr">
        <is>
          <t>0%</t>
        </is>
      </c>
      <c r="I26" s="3" t="inlineStr">
        <is>
          <t>ปกติ</t>
        </is>
      </c>
    </row>
    <row r="27">
      <c r="F27" s="9" t="inlineStr">
        <is>
          <t>ค่าเฉลี่ย (Mean):</t>
        </is>
      </c>
      <c r="G27" s="10">
        <f>AVERAGE(G2:G26)</f>
        <v/>
      </c>
      <c r="I27" s="11" t="inlineStr">
        <is>
          <t>⬅️ ยอดเฉลี่ยเพี้ยนทะลุ 100,000+ บาท เพราะมีบิลหลุดโลก!</t>
        </is>
      </c>
    </row>
    <row r="28">
      <c r="F28" s="9" t="inlineStr">
        <is>
          <t>ค่ามัธยฐาน (Median):</t>
        </is>
      </c>
      <c r="G28" s="12">
        <f>MEDIAN(G2:G26)</f>
        <v/>
      </c>
      <c r="I28" s="11" t="inlineStr">
        <is>
          <t>⬅️ มัธยฐาน 650 บาท สะท้อนยอดซื้อจริงของลูกค้าทั่วไป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5" customWidth="1" min="3" max="3"/>
  </cols>
  <sheetData>
    <row r="2">
      <c r="B2" s="13" t="inlineStr">
        <is>
          <t>กับดักที่ 5: ค่าผิดปกติหลุดโลก (Outliers &amp; Anomalies)</t>
        </is>
      </c>
    </row>
    <row r="3">
      <c r="B3" s="14" t="inlineStr">
        <is>
          <t>ไฟล์ตัวอย่างยอดขายที่มีตัวเลขสุดโต่ง ยอดติดลบ และจำนวน 999 ชิ้น จนดึงค่าเฉลี่ยเพี้ยน</t>
        </is>
      </c>
    </row>
    <row r="5">
      <c r="B5" s="15" t="inlineStr">
        <is>
          <t>กับดักข้อมูลสกปรก (Dirty Data Trap):</t>
        </is>
      </c>
      <c r="C5" s="9" t="inlineStr">
        <is>
          <t>Trap 5: Outliers &amp; Anomalies</t>
        </is>
      </c>
    </row>
    <row r="6">
      <c r="B6" s="9" t="inlineStr">
        <is>
          <t>ลักษณะข้อมูลที่ไม่ถูกต้องในตารางนี้:</t>
        </is>
      </c>
      <c r="C6" s="16" t="inlineStr">
        <is>
          <t>ค่าสุดโต่งจากการพิมพ์ผิด แป้นพิมพ์ค้าง หรือระบบรวน ส่งผลกระทบอย่างรุนแรงต่อค่าเฉลี่ยเลขคณิต</t>
        </is>
      </c>
    </row>
    <row r="8">
      <c r="B8" s="17" t="inlineStr">
        <is>
          <t>ทำไมจึงเป็นปัญหาต่อธุรกิจ? (Pain Points &amp; GIGO):</t>
        </is>
      </c>
    </row>
    <row r="9">
      <c r="B9" s="18" t="inlineStr">
        <is>
          <t>❌</t>
        </is>
      </c>
      <c r="C9" s="16" t="inlineStr">
        <is>
          <t>ค่าเฉลี่ย (Mean) พังทลาย: ออเดอร์ 5,000 ชิ้น และยอดติดลบ ดึงยอดเฉลี่ยจาก 600 บาท พุ่งกลายเป็นหลักแสน!</t>
        </is>
      </c>
    </row>
    <row r="10">
      <c r="B10" s="18" t="inlineStr">
        <is>
          <t>❌</t>
        </is>
      </c>
      <c r="C10" s="16" t="inlineStr">
        <is>
          <t>วางแผนสต็อกผิดพลาด: ฝ่ายจัดซื้อเตรียมผ้าตัดเสื้อเป็นพันตัวจนเงินจม เพราะดูตัวเลข Mean ที่บิดเบือน</t>
        </is>
      </c>
    </row>
    <row r="11">
      <c r="B11" s="18" t="inlineStr">
        <is>
          <t>❌</t>
        </is>
      </c>
      <c r="C11" s="16" t="inlineStr">
        <is>
          <t>AI วิเคราะห์หลอน: ป้อนข้อมูลนี้ให้ AI สรุปกลยุทธ์ AI จะแนะนำให้ขยายโรงงานผลิตเดรสเพราะเข้าใจผิดว่าเป็นลูกค้ารายย่อยซื้อเยอะ</t>
        </is>
      </c>
    </row>
    <row r="13">
      <c r="B13" s="19" t="inlineStr">
        <is>
          <t>วิธีแก้ไขตามมาตรฐาน Session 5 (Best Practices):</t>
        </is>
      </c>
    </row>
    <row r="14">
      <c r="B14" s="18" t="inlineStr">
        <is>
          <t>✔️</t>
        </is>
      </c>
      <c r="C14" s="16" t="inlineStr">
        <is>
          <t>สแกนหาค่า Min และ Max ด้วยการ Sort คอลัมน์ตัวเลข จากน้อยไปมาก และมากไปน้อย</t>
        </is>
      </c>
    </row>
    <row r="15">
      <c r="B15" s="18" t="inlineStr">
        <is>
          <t>✔️</t>
        </is>
      </c>
      <c r="C15" s="16" t="inlineStr">
        <is>
          <t>เปิด Filter กรองดูค่าติดลบ (&lt; 0) หรือค่าเกินจริง (&gt; 10,000)</t>
        </is>
      </c>
    </row>
    <row r="16">
      <c r="B16" s="18" t="inlineStr">
        <is>
          <t>✔️</t>
        </is>
      </c>
      <c r="C16" s="16" t="inlineStr">
        <is>
          <t>ใช้ค่ามัธยฐาน (Median) แทนค่าเฉลี่ย (Mean) ในการดูพฤติกรรมลูกค้าทั่วไป</t>
        </is>
      </c>
    </row>
    <row r="17">
      <c r="B17" s="18" t="inlineStr">
        <is>
          <t>✔️</t>
        </is>
      </c>
      <c r="C17" s="16" t="inlineStr">
        <is>
          <t>ใช้ Data Validation ล็อกช่วงตัวเลข เช่น Qty ต้องอยู่ระหว่าง 1 ถึง 50 ชิ้น ป้องกันพนักงานคีย์เบิ้ล</t>
        </is>
      </c>
    </row>
    <row r="19">
      <c r="B19" s="20" t="inlineStr">
        <is>
          <t>เครื่องมือ &amp; สูตร Google Sheets ที่ใช้:</t>
        </is>
      </c>
      <c r="C19" s="9" t="inlineStr">
        <is>
          <t>Sort Min/Max, Filter (&lt; 0, &gt; Limit), =MEDIAN(), Data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2026-09-29T18:46:01Z</dcterms:created>
  <dcterms:modified xmlns:dcterms="http://purl.org/dc/terms/" xmlns:xsi="http://www.w3.org/2001/XMLSchema-instance" xsi:type="dcterms:W3CDTF">2026-09-29T18:46:01Z</dcterms:modified>
</cp:coreProperties>
</file>