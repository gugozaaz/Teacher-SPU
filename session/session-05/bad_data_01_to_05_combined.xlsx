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สารบัญ &amp; ภาพรวม 5 กับดัก" sheetId="1" state="visible" r:id="rId1"/>
    <sheet xmlns:r="http://schemas.openxmlformats.org/officeDocument/2006/relationships" name="01_ชบาโคลทติ้ง (ออเดอร์ซ้ำ)" sheetId="2" state="visible" r:id="rId2"/>
    <sheet xmlns:r="http://schemas.openxmlformats.org/officeDocument/2006/relationships" name="01_คำอธิบาย Trap 1" sheetId="3" state="visible" r:id="rId3"/>
    <sheet xmlns:r="http://schemas.openxmlformats.org/officeDocument/2006/relationships" name="02_HealthyBites (ช่องว่างแฝง)" sheetId="4" state="visible" r:id="rId4"/>
    <sheet xmlns:r="http://schemas.openxmlformats.org/officeDocument/2006/relationships" name="02_คำอธิบาย Trap 2" sheetId="5" state="visible" r:id="rId5"/>
    <sheet xmlns:r="http://schemas.openxmlformats.org/officeDocument/2006/relationships" name="03_GymFit (เซลล์ว่าง&amp;Null)" sheetId="6" state="visible" r:id="rId6"/>
    <sheet xmlns:r="http://schemas.openxmlformats.org/officeDocument/2006/relationships" name="03_คำอธิบาย Trap 3" sheetId="7" state="visible" r:id="rId7"/>
    <sheet xmlns:r="http://schemas.openxmlformats.org/officeDocument/2006/relationships" name="04_แฟชั่นรีเทล (ฟอร์แมตมั่ว)" sheetId="8" state="visible" r:id="rId8"/>
    <sheet xmlns:r="http://schemas.openxmlformats.org/officeDocument/2006/relationships" name="04_คำอธิบาย Trap 4" sheetId="9" state="visible" r:id="rId9"/>
    <sheet xmlns:r="http://schemas.openxmlformats.org/officeDocument/2006/relationships" name="05_ชบาออดิท (ค่าหลุดโลก)" sheetId="10" state="visible" r:id="rId10"/>
    <sheet xmlns:r="http://schemas.openxmlformats.org/officeDocument/2006/relationships" name="05_คำอธิบาย Trap 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Noto Sans Thai"/>
      <b val="1"/>
      <color rgb="001E1B4B"/>
      <sz val="15"/>
    </font>
    <font>
      <name val="Noto Sans Thai"/>
      <i val="1"/>
      <color rgb="004338CA"/>
      <sz val="10"/>
    </font>
    <font>
      <name val="Noto Sans Thai"/>
      <color rgb="00475569"/>
      <sz val="9.5"/>
    </font>
    <font>
      <name val="Noto Sans Thai"/>
      <b val="1"/>
      <color rgb="00FFFFFF"/>
      <sz val="10"/>
    </font>
    <font>
      <name val="Noto Sans Thai"/>
      <b val="1"/>
      <color rgb="000F172A"/>
      <sz val="10"/>
    </font>
    <font>
      <name val="Noto Sans Thai"/>
      <color rgb="001E293B"/>
      <sz val="10"/>
    </font>
    <font>
      <name val="Noto Sans Thai"/>
      <b val="1"/>
      <color rgb="001D4ED8"/>
      <sz val="9"/>
    </font>
    <font>
      <name val="Noto Sans Thai"/>
      <b val="1"/>
      <color rgb="0015803D"/>
      <sz val="9"/>
    </font>
    <font>
      <name val="Noto Sans Thai"/>
      <color rgb="000F172A"/>
      <sz val="10"/>
    </font>
    <font>
      <name val="Noto Sans Thai"/>
      <b val="1"/>
      <color rgb="00BE123C"/>
      <sz val="9"/>
    </font>
    <font>
      <name val="Noto Sans Thai"/>
      <b val="1"/>
      <color rgb="001E1B4B"/>
      <sz val="13"/>
    </font>
    <font>
      <name val="Noto Sans Thai"/>
      <color rgb="00334155"/>
      <sz val="10"/>
    </font>
    <font>
      <name val="Calibri"/>
      <color theme="1"/>
      <sz val="11"/>
    </font>
    <font>
      <name val="Noto Sans Thai"/>
      <b val="1"/>
      <color rgb="0092400E"/>
      <sz val="9"/>
    </font>
    <font>
      <name val="Noto Sans Thai"/>
      <b val="1"/>
      <color rgb="009F1239"/>
      <sz val="10"/>
    </font>
    <font>
      <name val="Noto Sans Thai"/>
      <b val="1"/>
      <color rgb="00BE123C"/>
      <sz val="11"/>
    </font>
    <font>
      <name val="Noto Sans Thai"/>
      <i val="1"/>
      <color rgb="0064748B"/>
      <sz val="9"/>
    </font>
    <font>
      <name val="Noto Sans Thai"/>
      <b val="1"/>
      <color rgb="0015803D"/>
      <sz val="11"/>
    </font>
  </fonts>
  <fills count="12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  <bgColor rgb="00F8FAFC"/>
      </patternFill>
    </fill>
    <fill>
      <patternFill patternType="solid">
        <fgColor rgb="003730A3"/>
        <bgColor rgb="003730A3"/>
      </patternFill>
    </fill>
    <fill>
      <patternFill patternType="solid">
        <fgColor rgb="00FFE4E6"/>
        <bgColor rgb="00FFE4E6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EF2FF"/>
        <bgColor rgb="00EEF2FF"/>
      </patternFill>
    </fill>
    <fill>
      <patternFill patternType="solid">
        <fgColor rgb="00FECDD3"/>
        <bgColor rgb="00FECDD3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/>
      <bottom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0" fontId="9" fillId="7" borderId="1" applyAlignment="1" pivotButton="0" quotePrefix="0" xfId="0">
      <alignment horizontal="center"/>
    </xf>
    <xf numFmtId="0" fontId="9" fillId="7" borderId="1" pivotButton="0" quotePrefix="0" xfId="0"/>
    <xf numFmtId="0" fontId="9" fillId="7" borderId="1" applyAlignment="1" pivotButton="0" quotePrefix="0" xfId="0">
      <alignment horizontal="right"/>
    </xf>
    <xf numFmtId="3" fontId="9" fillId="7" borderId="1" applyAlignment="1" pivotButton="0" quotePrefix="0" xfId="0">
      <alignment horizontal="right"/>
    </xf>
    <xf numFmtId="0" fontId="10" fillId="7" borderId="1" pivotButton="0" quotePrefix="0" xfId="0"/>
    <xf numFmtId="0" fontId="11" fillId="0" borderId="2" pivotButton="0" quotePrefix="0" xfId="0"/>
    <xf numFmtId="0" fontId="2" fillId="0" borderId="2" pivotButton="0" quotePrefix="0" xfId="0"/>
    <xf numFmtId="0" fontId="5" fillId="8" borderId="2" pivotButton="0" quotePrefix="0" xfId="0"/>
    <xf numFmtId="0" fontId="5" fillId="0" borderId="2" pivotButton="0" quotePrefix="0" xfId="0"/>
    <xf numFmtId="0" fontId="12" fillId="0" borderId="2" pivotButton="0" quotePrefix="0" xfId="0"/>
    <xf numFmtId="0" fontId="5" fillId="7" borderId="2" pivotButton="0" quotePrefix="0" xfId="0"/>
    <xf numFmtId="0" fontId="13" fillId="0" borderId="2" applyAlignment="1" pivotButton="0" quotePrefix="0" xfId="0">
      <alignment horizontal="center"/>
    </xf>
    <xf numFmtId="0" fontId="5" fillId="9" borderId="2" pivotButton="0" quotePrefix="0" xfId="0"/>
    <xf numFmtId="0" fontId="5" fillId="10" borderId="2" pivotButton="0" quotePrefix="0" xfId="0"/>
    <xf numFmtId="0" fontId="9" fillId="11" borderId="1" applyAlignment="1" pivotButton="0" quotePrefix="0" xfId="0">
      <alignment horizontal="center"/>
    </xf>
    <xf numFmtId="0" fontId="14" fillId="8" borderId="1" pivotButton="0" quotePrefix="0" xfId="0"/>
    <xf numFmtId="0" fontId="9" fillId="11" borderId="1" applyAlignment="1" pivotButton="0" quotePrefix="0" xfId="0">
      <alignment horizontal="right"/>
    </xf>
    <xf numFmtId="3" fontId="9" fillId="11" borderId="1" applyAlignment="1" pivotButton="0" quotePrefix="0" xfId="0">
      <alignment horizontal="right"/>
    </xf>
    <xf numFmtId="0" fontId="9" fillId="7" borderId="1" applyAlignment="1" pivotButton="0" quotePrefix="0" xfId="0">
      <alignment horizontal="left"/>
    </xf>
    <xf numFmtId="3" fontId="15" fillId="11" borderId="1" applyAlignment="1" pivotButton="0" quotePrefix="0" xfId="0">
      <alignment horizontal="right"/>
    </xf>
    <xf numFmtId="0" fontId="15" fillId="11" borderId="1" applyAlignment="1" pivotButton="0" quotePrefix="0" xfId="0">
      <alignment horizontal="center"/>
    </xf>
    <xf numFmtId="4" fontId="16" fillId="7" borderId="2" pivotButton="0" quotePrefix="0" xfId="0"/>
    <xf numFmtId="0" fontId="17" fillId="0" borderId="2" pivotButton="0" quotePrefix="0" xfId="0"/>
    <xf numFmtId="4" fontId="18" fillId="9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3594;&#3610;&#3634;&#3650;&#3588;&#3621;&#3607;&#3605;&#3636;&#3657;&#3591; (&#3629;&#3629;&#3648;&#3604;&#3629;&#3619;&#3660;&#3595;&#3657;&#3635;)'!A1" TargetMode="External" Id="rId1"/><Relationship Type="http://schemas.openxmlformats.org/officeDocument/2006/relationships/hyperlink" Target="#'01_&#3588;&#3635;&#3629;&#3608;&#3636;&#3610;&#3634;&#3618; Trap 1'!A1" TargetMode="External" Id="rId2"/><Relationship Type="http://schemas.openxmlformats.org/officeDocument/2006/relationships/hyperlink" Target="#'02_HealthyBites (&#3594;&#3656;&#3629;&#3591;&#3623;&#3656;&#3634;&#3591;&#3649;&#3613;&#3591;)'!A1" TargetMode="External" Id="rId3"/><Relationship Type="http://schemas.openxmlformats.org/officeDocument/2006/relationships/hyperlink" Target="#'02_&#3588;&#3635;&#3629;&#3608;&#3636;&#3610;&#3634;&#3618; Trap 2'!A1" TargetMode="External" Id="rId4"/><Relationship Type="http://schemas.openxmlformats.org/officeDocument/2006/relationships/hyperlink" Target="#'03_GymFit (&#3648;&#3595;&#3621;&#3621;&#3660;&#3623;&#3656;&#3634;&#3591;&amp;Null)'!A1" TargetMode="External" Id="rId5"/><Relationship Type="http://schemas.openxmlformats.org/officeDocument/2006/relationships/hyperlink" Target="#'03_&#3588;&#3635;&#3629;&#3608;&#3636;&#3610;&#3634;&#3618; Trap 3'!A1" TargetMode="External" Id="rId6"/><Relationship Type="http://schemas.openxmlformats.org/officeDocument/2006/relationships/hyperlink" Target="#'04_&#3649;&#3615;&#3594;&#3633;&#3656;&#3609;&#3619;&#3637;&#3648;&#3607;&#3621; (&#3615;&#3629;&#3619;&#3660;&#3649;&#3617;&#3605;&#3617;&#3633;&#3656;&#3623;)'!A1" TargetMode="External" Id="rId7"/><Relationship Type="http://schemas.openxmlformats.org/officeDocument/2006/relationships/hyperlink" Target="#'04_&#3588;&#3635;&#3629;&#3608;&#3636;&#3610;&#3634;&#3618; Trap 4'!A1" TargetMode="External" Id="rId8"/><Relationship Type="http://schemas.openxmlformats.org/officeDocument/2006/relationships/hyperlink" Target="#'05_&#3594;&#3610;&#3634;&#3629;&#3629;&#3604;&#3636;&#3607; (&#3588;&#3656;&#3634;&#3627;&#3621;&#3640;&#3604;&#3650;&#3621;&#3585;)'!A1" TargetMode="External" Id="rId9"/><Relationship Type="http://schemas.openxmlformats.org/officeDocument/2006/relationships/hyperlink" Target="#'05_&#3588;&#3635;&#3629;&#3608;&#3636;&#3610;&#3634;&#3618; Trap 5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4" customWidth="1" min="3" max="3"/>
    <col width="30" customWidth="1" min="4" max="4"/>
    <col width="32" customWidth="1" min="5" max="5"/>
    <col width="25" customWidth="1" min="6" max="6"/>
    <col width="36" customWidth="1" min="7" max="7"/>
    <col width="46" customWidth="1" min="8" max="8"/>
  </cols>
  <sheetData>
    <row r="2">
      <c r="B2" s="1" t="inlineStr">
        <is>
          <t>📚 รวมชุดข้อมูลตัวอย่าง 5 กับดัก Dirty Data (Session 05 Master Collection)</t>
        </is>
      </c>
    </row>
    <row r="3">
      <c r="B3" s="2" t="inlineStr">
        <is>
          <t>รายวิชา: Fundamentals of Data Science | คณะการสร้างเจ้าของธุรกิจ มหาวิทยาลัยศรีปทุม</t>
        </is>
      </c>
    </row>
    <row r="4">
      <c r="B4" s="3" t="inlineStr">
        <is>
          <t>ชุดข้อมูลจำลองปัญหาข้อมูลสกปรกในธุรกิจไทย 5 ประเภท เพื่อฝึกฝนกระบวนการ Data Cleaning และเตรียมความพร้อมก่อนป้อนให้ AI</t>
        </is>
      </c>
    </row>
    <row r="6" ht="28" customHeight="1">
      <c r="B6" s="4" t="inlineStr">
        <is>
          <t>ลำดับ</t>
        </is>
      </c>
      <c r="C6" s="4" t="inlineStr">
        <is>
          <t>กับดักข้อผิดพลาด (Trap Name)</t>
        </is>
      </c>
      <c r="D6" s="4" t="inlineStr">
        <is>
          <t>กรณีศึกษาธุรกิจไทย</t>
        </is>
      </c>
      <c r="E6" s="4" t="inlineStr">
        <is>
          <t>แผ่นงานข้อมูลดิบ (Data Sheet)</t>
        </is>
      </c>
      <c r="F6" s="4" t="inlineStr">
        <is>
          <t>แผ่นงานคำอธิบาย (Explanation Sheet)</t>
        </is>
      </c>
      <c r="G6" s="4" t="inlineStr">
        <is>
          <t>กฎการคลีน / เครื่องมือหลัก</t>
        </is>
      </c>
      <c r="H6" s="4" t="inlineStr">
        <is>
          <t>ผลกระทบหลักต่อธุรกิจ &amp; การสั่งการ AI</t>
        </is>
      </c>
    </row>
    <row r="7" ht="42" customHeight="1">
      <c r="B7" s="5" t="inlineStr">
        <is>
          <t>กับดักที่ 1</t>
        </is>
      </c>
      <c r="C7" s="6" t="inlineStr">
        <is>
          <t>ข้อมูลซ้ำซ้อนจากหลายระบบ
(Duplicate Records)</t>
        </is>
      </c>
      <c r="D7" s="7" t="inlineStr">
        <is>
          <t>ร้านชบา โคลทติ้ง (Chaba Clothing)</t>
        </is>
      </c>
      <c r="E7" s="8" t="inlineStr">
        <is>
          <t>01_ชบาโคลทติ้ง (ออเดอร์ซ้ำ)</t>
        </is>
      </c>
      <c r="F7" s="9" t="inlineStr">
        <is>
          <t>01_คำอธิบาย Trap 1</t>
        </is>
      </c>
      <c r="G7" s="10" t="inlineStr">
        <is>
          <t>กฎ Don't Touch Raw Data
Data &gt; Remove duplicates หรือ =UNIQUE()</t>
        </is>
      </c>
      <c r="H7" s="10" t="inlineStr">
        <is>
          <t>ออเดอร์เบิ้ลจากการกดซ้ำหรือดึงไฟล์ซ้อน / ยอดขายและสต็อกพองเกินจริงกว่า 4,500 บาท / AI และ Pivot Table วิเคราะห์เบิ้ล 2 เท่า</t>
        </is>
      </c>
    </row>
    <row r="8" ht="42" customHeight="1">
      <c r="B8" s="11" t="inlineStr">
        <is>
          <t>กับดักที่ 2</t>
        </is>
      </c>
      <c r="C8" s="12" t="inlineStr">
        <is>
          <t>ช่องว่างแฝง &amp; ตัวสะกดเพี้ยน
(Hidden Whitespace &amp; Typos)</t>
        </is>
      </c>
      <c r="D8" s="13" t="inlineStr">
        <is>
          <t>ร้านอาหารคลีน HealthyBites</t>
        </is>
      </c>
      <c r="E8" s="8" t="inlineStr">
        <is>
          <t>02_HealthyBites (ช่องว่างแฝง)</t>
        </is>
      </c>
      <c r="F8" s="9" t="inlineStr">
        <is>
          <t>02_คำอธิบาย Trap 2</t>
        </is>
      </c>
      <c r="G8" s="14" t="inlineStr">
        <is>
          <t>Data &gt; Trim whitespace
สูตร =TRIM(), =UPPER(), Find &amp; Replace</t>
        </is>
      </c>
      <c r="H8" s="14" t="inlineStr">
        <is>
          <t>มี Space ข้างหน้า-หลังคำ / Pivot Table แยกเป็นคนละเมนู / ไซส์ตัวเล็กตัวใหญ่ปนกัน / AI รวมกลุ่มจัดหมวดหมู่ยอดขายไม่ได้</t>
        </is>
      </c>
    </row>
    <row r="9" ht="42" customHeight="1">
      <c r="B9" s="5" t="inlineStr">
        <is>
          <t>กับดักที่ 3</t>
        </is>
      </c>
      <c r="C9" s="6" t="inlineStr">
        <is>
          <t>ข้อมูลขาดหาย &amp; เซลล์ว่างเปล่า
(Missing Values &amp; Nulls)</t>
        </is>
      </c>
      <c r="D9" s="7" t="inlineStr">
        <is>
          <t>ศูนย์ฟิตเนส GymFit Express</t>
        </is>
      </c>
      <c r="E9" s="8" t="inlineStr">
        <is>
          <t>03_GymFit (เซลล์ว่าง&amp;Null)</t>
        </is>
      </c>
      <c r="F9" s="9" t="inlineStr">
        <is>
          <t>03_คำอธิบาย Trap 3</t>
        </is>
      </c>
      <c r="G9" s="10" t="inlineStr">
        <is>
          <t>Filter หาสาเหตุ / Conditional Formatting
สูตร =ISBLANK() และเทคนิค Imputation</t>
        </is>
      </c>
      <c r="H9" s="10" t="inlineStr">
        <is>
          <t>เบอร์โทรศัพท์เว้นว่างติดต่อลูกค้าไม่ได้ / ช่องอายุคีย์ 'NULL' ปนตัวเลข / ค่าบริการเว้นว่างทำให้สูตรคำนวณยอดเงินรวมขาดหาย</t>
        </is>
      </c>
    </row>
    <row r="10" ht="42" customHeight="1">
      <c r="B10" s="11" t="inlineStr">
        <is>
          <t>กับดักที่ 4</t>
        </is>
      </c>
      <c r="C10" s="12" t="inlineStr">
        <is>
          <t>วันที่และตัวเลขฟอร์แมตมั่ว
(Date &amp; Number Format Chaos)</t>
        </is>
      </c>
      <c r="D10" s="13" t="inlineStr">
        <is>
          <t>ร้านแฟชั่นมัลติแบรนด์ (Retail)</t>
        </is>
      </c>
      <c r="E10" s="8" t="inlineStr">
        <is>
          <t>04_แฟชั่นรีเทล (ฟอร์แมตมั่ว)</t>
        </is>
      </c>
      <c r="F10" s="9" t="inlineStr">
        <is>
          <t>04_คำอธิบาย Trap 4</t>
        </is>
      </c>
      <c r="G10" s="14" t="inlineStr">
        <is>
          <t>Format &gt; Number / Date
สูตร =VALUE(), =DATEVALUE()</t>
        </is>
      </c>
      <c r="H10" s="14" t="inlineStr">
        <is>
          <t>ตัวเลขมีสัญลักษณ์ ฿, .- กลายเป็น Text ชิดซ้าย SUM ข้าม / วันที่ปี พ.ศ. ปน ค.ศ. เรียง Timeline ไม่ได้ / เบอร์โทร 0 หน้าหาย</t>
        </is>
      </c>
    </row>
    <row r="11" ht="42" customHeight="1">
      <c r="B11" s="5" t="inlineStr">
        <is>
          <t>กับดักที่ 5</t>
        </is>
      </c>
      <c r="C11" s="6" t="inlineStr">
        <is>
          <t>ค่าผิดปกติหลุดโลก &amp; บิดเบือน
(Outliers &amp; Anomalies)</t>
        </is>
      </c>
      <c r="D11" s="7" t="inlineStr">
        <is>
          <t>ระบบคำสั่งซื้อ ชบา โคลทติ้ง</t>
        </is>
      </c>
      <c r="E11" s="8" t="inlineStr">
        <is>
          <t>05_ชบาออดิท (ค่าหลุดโลก)</t>
        </is>
      </c>
      <c r="F11" s="9" t="inlineStr">
        <is>
          <t>05_คำอธิบาย Trap 5</t>
        </is>
      </c>
      <c r="G11" s="10" t="inlineStr">
        <is>
          <t>Data Validation ป้องกันต้นทาง
Sort ตรวจหัว-ท้าย และ Conditional Formatting</t>
        </is>
      </c>
      <c r="H11" s="10" t="inlineStr">
        <is>
          <t>คีย์สั่งซื้อ 999 ชิ้น หรือราคาติดลบ / ส่วนลด 150% / บิดเบือนค่าเฉลี่ยและตัวเลขวิเคราะห์ของธุรกิจจน AI สรุปผิดทาง</t>
        </is>
      </c>
    </row>
  </sheetData>
  <hyperlinks>
    <hyperlink xmlns:r="http://schemas.openxmlformats.org/officeDocument/2006/relationships" ref="E7" r:id="rId1"/>
    <hyperlink xmlns:r="http://schemas.openxmlformats.org/officeDocument/2006/relationships" ref="F7" r:id="rId2"/>
    <hyperlink xmlns:r="http://schemas.openxmlformats.org/officeDocument/2006/relationships" ref="E8" r:id="rId3"/>
    <hyperlink xmlns:r="http://schemas.openxmlformats.org/officeDocument/2006/relationships" ref="F8" r:id="rId4"/>
    <hyperlink xmlns:r="http://schemas.openxmlformats.org/officeDocument/2006/relationships" ref="E9" r:id="rId5"/>
    <hyperlink xmlns:r="http://schemas.openxmlformats.org/officeDocument/2006/relationships" ref="F9" r:id="rId6"/>
    <hyperlink xmlns:r="http://schemas.openxmlformats.org/officeDocument/2006/relationships" ref="E10" r:id="rId7"/>
    <hyperlink xmlns:r="http://schemas.openxmlformats.org/officeDocument/2006/relationships" ref="F10" r:id="rId8"/>
    <hyperlink xmlns:r="http://schemas.openxmlformats.org/officeDocument/2006/relationships" ref="E11" r:id="rId9"/>
    <hyperlink xmlns:r="http://schemas.openxmlformats.org/officeDocument/2006/relationships" ref="F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7" customWidth="1" min="3" max="3"/>
    <col width="25" customWidth="1" min="4" max="4"/>
    <col width="15" customWidth="1" min="5" max="5"/>
    <col width="12" customWidth="1" min="6" max="6"/>
    <col width="12" customWidth="1" min="7" max="7"/>
    <col width="14" customWidth="1" min="8" max="8"/>
    <col width="16" customWidth="1" min="9" max="9"/>
    <col width="15" customWidth="1" min="10" max="10"/>
    <col width="39" customWidth="1" min="11" max="11"/>
  </cols>
  <sheetData>
    <row r="1">
      <c r="A1" s="15" t="inlineStr">
        <is>
          <t>Order_ID</t>
        </is>
      </c>
      <c r="B1" s="15" t="inlineStr">
        <is>
          <t>Order_Date</t>
        </is>
      </c>
      <c r="C1" s="15" t="inlineStr">
        <is>
          <t>Customer_Name</t>
        </is>
      </c>
      <c r="D1" s="15" t="inlineStr">
        <is>
          <t>Product_Name</t>
        </is>
      </c>
      <c r="E1" s="15" t="inlineStr">
        <is>
          <t>Color</t>
        </is>
      </c>
      <c r="F1" s="15" t="inlineStr">
        <is>
          <t>Size</t>
        </is>
      </c>
      <c r="G1" s="15" t="inlineStr">
        <is>
          <t>Quantity</t>
        </is>
      </c>
      <c r="H1" s="15" t="inlineStr">
        <is>
          <t>Unit_Price</t>
        </is>
      </c>
      <c r="I1" s="15" t="inlineStr">
        <is>
          <t>Total_Amount</t>
        </is>
      </c>
      <c r="J1" s="15" t="inlineStr">
        <is>
          <t>Channel</t>
        </is>
      </c>
      <c r="K1" s="15" t="inlineStr">
        <is>
          <t>Note_Trap_Audit</t>
        </is>
      </c>
    </row>
    <row r="2">
      <c r="A2" s="16" t="inlineStr">
        <is>
          <t>ORD-1001</t>
        </is>
      </c>
      <c r="B2" s="16" t="inlineStr">
        <is>
          <t>2026-03-01</t>
        </is>
      </c>
      <c r="C2" s="17" t="inlineStr">
        <is>
          <t>คุณสมศรี ใจดี</t>
        </is>
      </c>
      <c r="D2" s="17" t="inlineStr">
        <is>
          <t>เสื้อยืด Oversize</t>
        </is>
      </c>
      <c r="E2" s="17" t="inlineStr">
        <is>
          <t>ขาว</t>
        </is>
      </c>
      <c r="F2" s="16" t="inlineStr">
        <is>
          <t>M</t>
        </is>
      </c>
      <c r="G2" s="18" t="n">
        <v>1</v>
      </c>
      <c r="H2" s="19" t="n">
        <v>350</v>
      </c>
      <c r="I2" s="19" t="n">
        <v>350</v>
      </c>
      <c r="J2" s="17" t="inlineStr">
        <is>
          <t>TikTok Shop</t>
        </is>
      </c>
      <c r="K2" s="17" t="inlineStr">
        <is>
          <t>ปกติ</t>
        </is>
      </c>
    </row>
    <row r="3">
      <c r="A3" s="20" t="inlineStr">
        <is>
          <t>ORD-1002</t>
        </is>
      </c>
      <c r="B3" s="20" t="inlineStr">
        <is>
          <t>2026-03-01</t>
        </is>
      </c>
      <c r="C3" s="21" t="inlineStr">
        <is>
          <t>คุณวิชัย เกียรติสกุล</t>
        </is>
      </c>
      <c r="D3" s="21" t="inlineStr">
        <is>
          <t>กางเกงยีนส์ขากระบอก</t>
        </is>
      </c>
      <c r="E3" s="21" t="inlineStr">
        <is>
          <t>ยีนส์เข้ม</t>
        </is>
      </c>
      <c r="F3" s="20" t="inlineStr">
        <is>
          <t>L</t>
        </is>
      </c>
      <c r="G3" s="22" t="n">
        <v>2</v>
      </c>
      <c r="H3" s="23" t="n">
        <v>890</v>
      </c>
      <c r="I3" s="23" t="n">
        <v>1780</v>
      </c>
      <c r="J3" s="24" t="inlineStr">
        <is>
          <t>Shopee</t>
        </is>
      </c>
      <c r="K3" s="21" t="inlineStr">
        <is>
          <t>ซ้ำแถวแรก (ออเดอร์เบิ้ลจากการกดซ้ำ)</t>
        </is>
      </c>
    </row>
    <row r="4">
      <c r="A4" s="20" t="inlineStr">
        <is>
          <t>ORD-1002</t>
        </is>
      </c>
      <c r="B4" s="20" t="inlineStr">
        <is>
          <t>2026-03-01</t>
        </is>
      </c>
      <c r="C4" s="21" t="inlineStr">
        <is>
          <t>คุณวิชัย เกียรติสกุล</t>
        </is>
      </c>
      <c r="D4" s="21" t="inlineStr">
        <is>
          <t>กางเกงยีนส์ขากระบอก</t>
        </is>
      </c>
      <c r="E4" s="21" t="inlineStr">
        <is>
          <t>ยีนส์เข้ม</t>
        </is>
      </c>
      <c r="F4" s="20" t="inlineStr">
        <is>
          <t>L</t>
        </is>
      </c>
      <c r="G4" s="22" t="n">
        <v>2</v>
      </c>
      <c r="H4" s="23" t="n">
        <v>890</v>
      </c>
      <c r="I4" s="23" t="n">
        <v>1780</v>
      </c>
      <c r="J4" s="24" t="inlineStr">
        <is>
          <t>Shopee</t>
        </is>
      </c>
      <c r="K4" s="21" t="inlineStr">
        <is>
          <t>ซ้ำแถวที่สอง (Duplicate Row 100%)</t>
        </is>
      </c>
    </row>
    <row r="5">
      <c r="A5" s="16" t="inlineStr">
        <is>
          <t>ORD-1003</t>
        </is>
      </c>
      <c r="B5" s="16" t="inlineStr">
        <is>
          <t>2026-03-01</t>
        </is>
      </c>
      <c r="C5" s="17" t="inlineStr">
        <is>
          <t>คุณกานดา รัตนกุล</t>
        </is>
      </c>
      <c r="D5" s="17" t="inlineStr">
        <is>
          <t>เสื้อครอปไหมพรม</t>
        </is>
      </c>
      <c r="E5" s="17" t="inlineStr">
        <is>
          <t>ชมพู</t>
        </is>
      </c>
      <c r="F5" s="16" t="inlineStr">
        <is>
          <t>S</t>
        </is>
      </c>
      <c r="G5" s="18" t="n">
        <v>1</v>
      </c>
      <c r="H5" s="19" t="n">
        <v>290</v>
      </c>
      <c r="I5" s="19" t="n">
        <v>290</v>
      </c>
      <c r="J5" s="17" t="inlineStr">
        <is>
          <t>LINE OA</t>
        </is>
      </c>
      <c r="K5" s="17" t="inlineStr">
        <is>
          <t>ปกติ</t>
        </is>
      </c>
    </row>
    <row r="6">
      <c r="A6" s="16" t="inlineStr">
        <is>
          <t>ORD-1004</t>
        </is>
      </c>
      <c r="B6" s="16" t="inlineStr">
        <is>
          <t>2026-03-02</t>
        </is>
      </c>
      <c r="C6" s="17" t="inlineStr">
        <is>
          <t>คุณพงษ์ศักดิ์ ชัยชนะ</t>
        </is>
      </c>
      <c r="D6" s="17" t="inlineStr">
        <is>
          <t>กระเป๋าผ้าแคนวาส</t>
        </is>
      </c>
      <c r="E6" s="17" t="inlineStr">
        <is>
          <t>ดำ</t>
        </is>
      </c>
      <c r="F6" s="16" t="inlineStr">
        <is>
          <t>Free</t>
        </is>
      </c>
      <c r="G6" s="18" t="n">
        <v>1</v>
      </c>
      <c r="H6" s="19" t="n">
        <v>199</v>
      </c>
      <c r="I6" s="19" t="n">
        <v>199</v>
      </c>
      <c r="J6" s="17" t="inlineStr">
        <is>
          <t>หน้าร้าน</t>
        </is>
      </c>
      <c r="K6" s="17" t="inlineStr">
        <is>
          <t>ปกติ</t>
        </is>
      </c>
    </row>
    <row r="7">
      <c r="A7" s="20" t="inlineStr">
        <is>
          <t>ORD-1005</t>
        </is>
      </c>
      <c r="B7" s="20" t="inlineStr">
        <is>
          <t>2026-03-02</t>
        </is>
      </c>
      <c r="C7" s="21" t="inlineStr">
        <is>
          <t>คุณดาริน แซ่ตั้ง</t>
        </is>
      </c>
      <c r="D7" s="21" t="inlineStr">
        <is>
          <t>เดรสชีฟองลายดอก</t>
        </is>
      </c>
      <c r="E7" s="21" t="inlineStr">
        <is>
          <t>ฟ้า</t>
        </is>
      </c>
      <c r="F7" s="20" t="inlineStr">
        <is>
          <t>M</t>
        </is>
      </c>
      <c r="G7" s="22" t="n">
        <v>1</v>
      </c>
      <c r="H7" s="23" t="n">
        <v>490</v>
      </c>
      <c r="I7" s="23" t="n">
        <v>490</v>
      </c>
      <c r="J7" s="24" t="inlineStr">
        <is>
          <t>TikTok Shop</t>
        </is>
      </c>
      <c r="K7" s="21" t="inlineStr">
        <is>
          <t>ซ้ำแถวแรก (ส่งไฟล์ซ้อน)</t>
        </is>
      </c>
    </row>
    <row r="8">
      <c r="A8" s="20" t="inlineStr">
        <is>
          <t>ORD-1005</t>
        </is>
      </c>
      <c r="B8" s="20" t="inlineStr">
        <is>
          <t>2026-03-02</t>
        </is>
      </c>
      <c r="C8" s="21" t="inlineStr">
        <is>
          <t>คุณดาริน แซ่ตั้ง</t>
        </is>
      </c>
      <c r="D8" s="21" t="inlineStr">
        <is>
          <t>เดรสชีฟองลายดอก</t>
        </is>
      </c>
      <c r="E8" s="21" t="inlineStr">
        <is>
          <t>ฟ้า</t>
        </is>
      </c>
      <c r="F8" s="20" t="inlineStr">
        <is>
          <t>M</t>
        </is>
      </c>
      <c r="G8" s="22" t="n">
        <v>1</v>
      </c>
      <c r="H8" s="23" t="n">
        <v>490</v>
      </c>
      <c r="I8" s="23" t="n">
        <v>490</v>
      </c>
      <c r="J8" s="24" t="inlineStr">
        <is>
          <t>TikTok Shop</t>
        </is>
      </c>
      <c r="K8" s="21" t="inlineStr">
        <is>
          <t>ซ้ำแถวที่สอง (Duplicate Row)</t>
        </is>
      </c>
    </row>
    <row r="9">
      <c r="A9" s="16" t="inlineStr">
        <is>
          <t>ORD-1006</t>
        </is>
      </c>
      <c r="B9" s="16" t="inlineStr">
        <is>
          <t>2026-03-02</t>
        </is>
      </c>
      <c r="C9" s="17" t="inlineStr">
        <is>
          <t>คุณธีรพงษ์ สุขเกษม</t>
        </is>
      </c>
      <c r="D9" s="17" t="inlineStr">
        <is>
          <t>เสื้อโปโลคลาสสิก</t>
        </is>
      </c>
      <c r="E9" s="17" t="inlineStr">
        <is>
          <t>กรมท่า</t>
        </is>
      </c>
      <c r="F9" s="16" t="inlineStr">
        <is>
          <t>XL</t>
        </is>
      </c>
      <c r="G9" s="18" t="n">
        <v>2</v>
      </c>
      <c r="H9" s="19" t="n">
        <v>450</v>
      </c>
      <c r="I9" s="19" t="n">
        <v>900</v>
      </c>
      <c r="J9" s="17" t="inlineStr">
        <is>
          <t>Shopee</t>
        </is>
      </c>
      <c r="K9" s="17" t="inlineStr">
        <is>
          <t>ปกติ</t>
        </is>
      </c>
    </row>
    <row r="10">
      <c r="A10" s="16" t="inlineStr">
        <is>
          <t>ORD-1007</t>
        </is>
      </c>
      <c r="B10" s="16" t="inlineStr">
        <is>
          <t>2026-03-03</t>
        </is>
      </c>
      <c r="C10" s="17" t="inlineStr">
        <is>
          <t>คุณมณีรัตน์ วงศ์วิวัฒน์</t>
        </is>
      </c>
      <c r="D10" s="17" t="inlineStr">
        <is>
          <t>เสื้อยืด Oversize</t>
        </is>
      </c>
      <c r="E10" s="17" t="inlineStr">
        <is>
          <t>ดำ</t>
        </is>
      </c>
      <c r="F10" s="16" t="inlineStr">
        <is>
          <t>L</t>
        </is>
      </c>
      <c r="G10" s="18" t="n">
        <v>1</v>
      </c>
      <c r="H10" s="19" t="n">
        <v>350</v>
      </c>
      <c r="I10" s="19" t="n">
        <v>350</v>
      </c>
      <c r="J10" s="17" t="inlineStr">
        <is>
          <t>TikTok Shop</t>
        </is>
      </c>
      <c r="K10" s="17" t="inlineStr">
        <is>
          <t>ปกติ</t>
        </is>
      </c>
    </row>
    <row r="11">
      <c r="A11" s="20" t="inlineStr">
        <is>
          <t>ORD-1008</t>
        </is>
      </c>
      <c r="B11" s="20" t="inlineStr">
        <is>
          <t>2026-03-03</t>
        </is>
      </c>
      <c r="C11" s="21" t="inlineStr">
        <is>
          <t>คุณณัฐพล ทองสุข</t>
        </is>
      </c>
      <c r="D11" s="21" t="inlineStr">
        <is>
          <t>กางเกงสแล็คทำงาน</t>
        </is>
      </c>
      <c r="E11" s="21" t="inlineStr">
        <is>
          <t>ดำ</t>
        </is>
      </c>
      <c r="F11" s="20" t="inlineStr">
        <is>
          <t>32</t>
        </is>
      </c>
      <c r="G11" s="22" t="n">
        <v>1</v>
      </c>
      <c r="H11" s="23" t="n">
        <v>690</v>
      </c>
      <c r="I11" s="23" t="n">
        <v>690</v>
      </c>
      <c r="J11" s="24" t="inlineStr">
        <is>
          <t>LINE OA</t>
        </is>
      </c>
      <c r="K11" s="21" t="inlineStr">
        <is>
          <t>ซ้ำแถวแรก (เน็ตค้างขณะยืนยัน)</t>
        </is>
      </c>
    </row>
    <row r="12">
      <c r="A12" s="20" t="inlineStr">
        <is>
          <t>ORD-1008</t>
        </is>
      </c>
      <c r="B12" s="20" t="inlineStr">
        <is>
          <t>2026-03-03</t>
        </is>
      </c>
      <c r="C12" s="21" t="inlineStr">
        <is>
          <t>คุณณัฐพล ทองสุข</t>
        </is>
      </c>
      <c r="D12" s="21" t="inlineStr">
        <is>
          <t>กางเกงสแล็คทำงาน</t>
        </is>
      </c>
      <c r="E12" s="21" t="inlineStr">
        <is>
          <t>ดำ</t>
        </is>
      </c>
      <c r="F12" s="20" t="inlineStr">
        <is>
          <t>32</t>
        </is>
      </c>
      <c r="G12" s="22" t="n">
        <v>1</v>
      </c>
      <c r="H12" s="23" t="n">
        <v>690</v>
      </c>
      <c r="I12" s="23" t="n">
        <v>690</v>
      </c>
      <c r="J12" s="24" t="inlineStr">
        <is>
          <t>LINE OA</t>
        </is>
      </c>
      <c r="K12" s="21" t="inlineStr">
        <is>
          <t>ซ้ำแถวที่สอง (Duplicate Row)</t>
        </is>
      </c>
    </row>
    <row r="13">
      <c r="A13" s="16" t="inlineStr">
        <is>
          <t>ORD-1009</t>
        </is>
      </c>
      <c r="B13" s="16" t="inlineStr">
        <is>
          <t>2026-03-03</t>
        </is>
      </c>
      <c r="C13" s="17" t="inlineStr">
        <is>
          <t>คุณวราภรณ์ สดใส</t>
        </is>
      </c>
      <c r="D13" s="17" t="inlineStr">
        <is>
          <t>เสื้อเบลเซอร์ลำลอง</t>
        </is>
      </c>
      <c r="E13" s="17" t="inlineStr">
        <is>
          <t>เบจ</t>
        </is>
      </c>
      <c r="F13" s="16" t="inlineStr">
        <is>
          <t>M</t>
        </is>
      </c>
      <c r="G13" s="18" t="n">
        <v>1</v>
      </c>
      <c r="H13" s="19" t="n">
        <v>890</v>
      </c>
      <c r="I13" s="19" t="n">
        <v>890</v>
      </c>
      <c r="J13" s="17" t="inlineStr">
        <is>
          <t>หน้าร้าน</t>
        </is>
      </c>
      <c r="K13" s="17" t="inlineStr">
        <is>
          <t>ปกติ</t>
        </is>
      </c>
    </row>
    <row r="14">
      <c r="A14" s="16" t="inlineStr">
        <is>
          <t>ORD-1010</t>
        </is>
      </c>
      <c r="B14" s="16" t="inlineStr">
        <is>
          <t>2026-03-04</t>
        </is>
      </c>
      <c r="C14" s="17" t="inlineStr">
        <is>
          <t>คุณพิเชษฐ์ บรรเจิด</t>
        </is>
      </c>
      <c r="D14" s="17" t="inlineStr">
        <is>
          <t>เสื้อฮู้ดดี้แขนยาว</t>
        </is>
      </c>
      <c r="E14" s="17" t="inlineStr">
        <is>
          <t>เทาเข้ม</t>
        </is>
      </c>
      <c r="F14" s="16" t="inlineStr">
        <is>
          <t>XXL</t>
        </is>
      </c>
      <c r="G14" s="18" t="n">
        <v>1</v>
      </c>
      <c r="H14" s="19" t="n">
        <v>650</v>
      </c>
      <c r="I14" s="19" t="n">
        <v>650</v>
      </c>
      <c r="J14" s="17" t="inlineStr">
        <is>
          <t>Shopee</t>
        </is>
      </c>
      <c r="K14" s="17" t="inlineStr">
        <is>
          <t>ปกติ</t>
        </is>
      </c>
    </row>
    <row r="15">
      <c r="A15" s="16" t="inlineStr">
        <is>
          <t>ORD-1011</t>
        </is>
      </c>
      <c r="B15" s="16" t="inlineStr">
        <is>
          <t>2026-03-04</t>
        </is>
      </c>
      <c r="C15" s="17" t="inlineStr">
        <is>
          <t>คุณอารียา นิมิตกุล</t>
        </is>
      </c>
      <c r="D15" s="17" t="inlineStr">
        <is>
          <t>เสื้อยืด Oversize</t>
        </is>
      </c>
      <c r="E15" s="17" t="inlineStr">
        <is>
          <t>ขาว</t>
        </is>
      </c>
      <c r="F15" s="16" t="inlineStr">
        <is>
          <t>S</t>
        </is>
      </c>
      <c r="G15" s="18" t="n">
        <v>3</v>
      </c>
      <c r="H15" s="19" t="n">
        <v>350</v>
      </c>
      <c r="I15" s="19" t="n">
        <v>1050</v>
      </c>
      <c r="J15" s="17" t="inlineStr">
        <is>
          <t>TikTok Shop</t>
        </is>
      </c>
      <c r="K15" s="17" t="inlineStr">
        <is>
          <t>ปกติ</t>
        </is>
      </c>
    </row>
    <row r="16">
      <c r="A16" s="20" t="inlineStr">
        <is>
          <t>ORD-1012</t>
        </is>
      </c>
      <c r="B16" s="20" t="inlineStr">
        <is>
          <t>2026-03-04</t>
        </is>
      </c>
      <c r="C16" s="21" t="inlineStr">
        <is>
          <t>คุณชาญวิทย์ วารี</t>
        </is>
      </c>
      <c r="D16" s="21" t="inlineStr">
        <is>
          <t>กางเกงยีนส์ขาสั้น</t>
        </is>
      </c>
      <c r="E16" s="21" t="inlineStr">
        <is>
          <t>ฟอกซีด</t>
        </is>
      </c>
      <c r="F16" s="20" t="inlineStr">
        <is>
          <t>34</t>
        </is>
      </c>
      <c r="G16" s="22" t="n">
        <v>1</v>
      </c>
      <c r="H16" s="23" t="n">
        <v>490</v>
      </c>
      <c r="I16" s="23" t="n">
        <v>490</v>
      </c>
      <c r="J16" s="24" t="inlineStr">
        <is>
          <t>LINE OA</t>
        </is>
      </c>
      <c r="K16" s="21" t="inlineStr">
        <is>
          <t>ซ้ำแถวแรก</t>
        </is>
      </c>
    </row>
    <row r="17">
      <c r="A17" s="20" t="inlineStr">
        <is>
          <t>ORD-1012</t>
        </is>
      </c>
      <c r="B17" s="20" t="inlineStr">
        <is>
          <t>2026-03-04</t>
        </is>
      </c>
      <c r="C17" s="21" t="inlineStr">
        <is>
          <t>คุณชาญวิทย์ วารี</t>
        </is>
      </c>
      <c r="D17" s="21" t="inlineStr">
        <is>
          <t>กางเกงยีนส์ขาสั้น</t>
        </is>
      </c>
      <c r="E17" s="21" t="inlineStr">
        <is>
          <t>ฟอกซีด</t>
        </is>
      </c>
      <c r="F17" s="20" t="inlineStr">
        <is>
          <t>34</t>
        </is>
      </c>
      <c r="G17" s="22" t="n">
        <v>1</v>
      </c>
      <c r="H17" s="23" t="n">
        <v>490</v>
      </c>
      <c r="I17" s="23" t="n">
        <v>490</v>
      </c>
      <c r="J17" s="24" t="inlineStr">
        <is>
          <t>LINE OA</t>
        </is>
      </c>
      <c r="K17" s="21" t="inlineStr">
        <is>
          <t>ซ้ำแถวที่สอง (Duplicate Row)</t>
        </is>
      </c>
    </row>
    <row r="18">
      <c r="A18" s="16" t="inlineStr">
        <is>
          <t>ORD-1013</t>
        </is>
      </c>
      <c r="B18" s="16" t="inlineStr">
        <is>
          <t>2026-03-05</t>
        </is>
      </c>
      <c r="C18" s="17" t="inlineStr">
        <is>
          <t>คุณจันทิมา ศรีสวัสดิ์</t>
        </is>
      </c>
      <c r="D18" s="17" t="inlineStr">
        <is>
          <t>เสื้อครอปไหมพรม</t>
        </is>
      </c>
      <c r="E18" s="17" t="inlineStr">
        <is>
          <t>ครีม</t>
        </is>
      </c>
      <c r="F18" s="16" t="inlineStr">
        <is>
          <t>Free</t>
        </is>
      </c>
      <c r="G18" s="18" t="n">
        <v>2</v>
      </c>
      <c r="H18" s="19" t="n">
        <v>290</v>
      </c>
      <c r="I18" s="19" t="n">
        <v>580</v>
      </c>
      <c r="J18" s="17" t="inlineStr">
        <is>
          <t>หน้าร้าน</t>
        </is>
      </c>
      <c r="K18" s="17" t="inlineStr">
        <is>
          <t>ปกติ</t>
        </is>
      </c>
    </row>
    <row r="19">
      <c r="A19" s="16" t="inlineStr">
        <is>
          <t>ORD-1014</t>
        </is>
      </c>
      <c r="B19" s="16" t="inlineStr">
        <is>
          <t>2026-03-05</t>
        </is>
      </c>
      <c r="C19" s="17" t="inlineStr">
        <is>
          <t>คุณธนกร เลิศปัญญา</t>
        </is>
      </c>
      <c r="D19" s="17" t="inlineStr">
        <is>
          <t>เสื้อยืดคอกลม</t>
        </is>
      </c>
      <c r="E19" s="17" t="inlineStr">
        <is>
          <t>เขียวขี้ม้า</t>
        </is>
      </c>
      <c r="F19" s="16" t="inlineStr">
        <is>
          <t>L</t>
        </is>
      </c>
      <c r="G19" s="18" t="n">
        <v>1</v>
      </c>
      <c r="H19" s="19" t="n">
        <v>290</v>
      </c>
      <c r="I19" s="19" t="n">
        <v>290</v>
      </c>
      <c r="J19" s="17" t="inlineStr">
        <is>
          <t>TikTok Shop</t>
        </is>
      </c>
      <c r="K19" s="17" t="inlineStr">
        <is>
          <t>ปกติ</t>
        </is>
      </c>
    </row>
    <row r="20">
      <c r="A20" s="20" t="inlineStr">
        <is>
          <t>ORD-1015</t>
        </is>
      </c>
      <c r="B20" s="20" t="inlineStr">
        <is>
          <t>2026-03-05</t>
        </is>
      </c>
      <c r="C20" s="21" t="inlineStr">
        <is>
          <t>คุณปิยะวรรณ เกตุแก้ว</t>
        </is>
      </c>
      <c r="D20" s="21" t="inlineStr">
        <is>
          <t>กระโปรงพลีทจีบรอบ</t>
        </is>
      </c>
      <c r="E20" s="21" t="inlineStr">
        <is>
          <t>ดำ</t>
        </is>
      </c>
      <c r="F20" s="20" t="inlineStr">
        <is>
          <t>Free</t>
        </is>
      </c>
      <c r="G20" s="22" t="n">
        <v>1</v>
      </c>
      <c r="H20" s="23" t="n">
        <v>390</v>
      </c>
      <c r="I20" s="23" t="n">
        <v>390</v>
      </c>
      <c r="J20" s="24" t="inlineStr">
        <is>
          <t>Shopee</t>
        </is>
      </c>
      <c r="K20" s="21" t="inlineStr">
        <is>
          <t>ซ้ำแถวแรก (ระบบดึงยอดเบิ้ล)</t>
        </is>
      </c>
    </row>
    <row r="21">
      <c r="A21" s="20" t="inlineStr">
        <is>
          <t>ORD-1015</t>
        </is>
      </c>
      <c r="B21" s="20" t="inlineStr">
        <is>
          <t>2026-03-05</t>
        </is>
      </c>
      <c r="C21" s="21" t="inlineStr">
        <is>
          <t>คุณปิยะวรรณ เกตุแก้ว</t>
        </is>
      </c>
      <c r="D21" s="21" t="inlineStr">
        <is>
          <t>กระโปรงพลีทจีบรอบ</t>
        </is>
      </c>
      <c r="E21" s="21" t="inlineStr">
        <is>
          <t>ดำ</t>
        </is>
      </c>
      <c r="F21" s="20" t="inlineStr">
        <is>
          <t>Free</t>
        </is>
      </c>
      <c r="G21" s="22" t="n">
        <v>1</v>
      </c>
      <c r="H21" s="23" t="n">
        <v>390</v>
      </c>
      <c r="I21" s="23" t="n">
        <v>390</v>
      </c>
      <c r="J21" s="24" t="inlineStr">
        <is>
          <t>Shopee</t>
        </is>
      </c>
      <c r="K21" s="21" t="inlineStr">
        <is>
          <t>ซ้ำแถวที่สอง (Duplicate Row)</t>
        </is>
      </c>
    </row>
    <row r="22">
      <c r="A22" s="16" t="inlineStr">
        <is>
          <t>ORD-1016</t>
        </is>
      </c>
      <c r="B22" s="16" t="inlineStr">
        <is>
          <t>2026-03-06</t>
        </is>
      </c>
      <c r="C22" s="17" t="inlineStr">
        <is>
          <t>คุณกิตติศักดิ์ ภักดี</t>
        </is>
      </c>
      <c r="D22" s="17" t="inlineStr">
        <is>
          <t>แจ็คเก็ตยีนส์ย้อนยุค</t>
        </is>
      </c>
      <c r="E22" s="17" t="inlineStr">
        <is>
          <t>ยีนส์ฟอก</t>
        </is>
      </c>
      <c r="F22" s="16" t="inlineStr">
        <is>
          <t>XL</t>
        </is>
      </c>
      <c r="G22" s="18" t="n">
        <v>1</v>
      </c>
      <c r="H22" s="19" t="n">
        <v>990</v>
      </c>
      <c r="I22" s="19" t="n">
        <v>990</v>
      </c>
      <c r="J22" s="17" t="inlineStr">
        <is>
          <t>LINE OA</t>
        </is>
      </c>
      <c r="K22" s="17" t="inlineStr">
        <is>
          <t>ปกติ</t>
        </is>
      </c>
    </row>
    <row r="23">
      <c r="A23" s="16" t="inlineStr">
        <is>
          <t>ORD-1017</t>
        </is>
      </c>
      <c r="B23" s="16" t="inlineStr">
        <is>
          <t>2026-03-06</t>
        </is>
      </c>
      <c r="C23" s="17" t="inlineStr">
        <is>
          <t>คุณลลิตา รักษ์ดี</t>
        </is>
      </c>
      <c r="D23" s="17" t="inlineStr">
        <is>
          <t>เสื้อเชิ้ตโอเวอร์ไซส์</t>
        </is>
      </c>
      <c r="E23" s="17" t="inlineStr">
        <is>
          <t>ขาว</t>
        </is>
      </c>
      <c r="F23" s="16" t="inlineStr">
        <is>
          <t>L</t>
        </is>
      </c>
      <c r="G23" s="18" t="n">
        <v>2</v>
      </c>
      <c r="H23" s="19" t="n">
        <v>420</v>
      </c>
      <c r="I23" s="19" t="n">
        <v>840</v>
      </c>
      <c r="J23" s="17" t="inlineStr">
        <is>
          <t>TikTok Shop</t>
        </is>
      </c>
      <c r="K23" s="17" t="inlineStr">
        <is>
          <t>ปกติ</t>
        </is>
      </c>
    </row>
    <row r="24">
      <c r="A24" s="20" t="inlineStr">
        <is>
          <t>ORD-1018</t>
        </is>
      </c>
      <c r="B24" s="20" t="inlineStr">
        <is>
          <t>2026-03-06</t>
        </is>
      </c>
      <c r="C24" s="21" t="inlineStr">
        <is>
          <t>คุณอนุพงศ์ มีโชค</t>
        </is>
      </c>
      <c r="D24" s="21" t="inlineStr">
        <is>
          <t>กางเกงขาสั้นชิโน</t>
        </is>
      </c>
      <c r="E24" s="21" t="inlineStr">
        <is>
          <t>กากี</t>
        </is>
      </c>
      <c r="F24" s="20" t="inlineStr">
        <is>
          <t>32</t>
        </is>
      </c>
      <c r="G24" s="22" t="n">
        <v>1</v>
      </c>
      <c r="H24" s="23" t="n">
        <v>390</v>
      </c>
      <c r="I24" s="23" t="n">
        <v>390</v>
      </c>
      <c r="J24" s="24" t="inlineStr">
        <is>
          <t>หน้าร้าน</t>
        </is>
      </c>
      <c r="K24" s="21" t="inlineStr">
        <is>
          <t>ซ้ำแถวแรก</t>
        </is>
      </c>
    </row>
    <row r="25">
      <c r="A25" s="20" t="inlineStr">
        <is>
          <t>ORD-1018</t>
        </is>
      </c>
      <c r="B25" s="20" t="inlineStr">
        <is>
          <t>2026-03-06</t>
        </is>
      </c>
      <c r="C25" s="21" t="inlineStr">
        <is>
          <t>คุณอนุพงศ์ มีโชค</t>
        </is>
      </c>
      <c r="D25" s="21" t="inlineStr">
        <is>
          <t>กางเกงขาสั้นชิโน</t>
        </is>
      </c>
      <c r="E25" s="21" t="inlineStr">
        <is>
          <t>กากี</t>
        </is>
      </c>
      <c r="F25" s="20" t="inlineStr">
        <is>
          <t>32</t>
        </is>
      </c>
      <c r="G25" s="22" t="n">
        <v>1</v>
      </c>
      <c r="H25" s="23" t="n">
        <v>390</v>
      </c>
      <c r="I25" s="23" t="n">
        <v>390</v>
      </c>
      <c r="J25" s="24" t="inlineStr">
        <is>
          <t>หน้าร้าน</t>
        </is>
      </c>
      <c r="K25" s="21" t="inlineStr">
        <is>
          <t>ซ้ำแถวที่สอง (Duplicate Row)</t>
        </is>
      </c>
    </row>
    <row r="26">
      <c r="A26" s="16" t="inlineStr">
        <is>
          <t>ORD-1019</t>
        </is>
      </c>
      <c r="B26" s="16" t="inlineStr">
        <is>
          <t>2026-03-07</t>
        </is>
      </c>
      <c r="C26" s="17" t="inlineStr">
        <is>
          <t>คุณศิริพร บุญยืน</t>
        </is>
      </c>
      <c r="D26" s="17" t="inlineStr">
        <is>
          <t>เสื้อยืด Oversize</t>
        </is>
      </c>
      <c r="E26" s="17" t="inlineStr">
        <is>
          <t>ชมพูพาสเทล</t>
        </is>
      </c>
      <c r="F26" s="16" t="inlineStr">
        <is>
          <t>M</t>
        </is>
      </c>
      <c r="G26" s="18" t="n">
        <v>1</v>
      </c>
      <c r="H26" s="19" t="n">
        <v>350</v>
      </c>
      <c r="I26" s="19" t="n">
        <v>350</v>
      </c>
      <c r="J26" s="17" t="inlineStr">
        <is>
          <t>TikTok Shop</t>
        </is>
      </c>
      <c r="K26" s="17" t="inlineStr">
        <is>
          <t>ปกติ</t>
        </is>
      </c>
    </row>
    <row r="27">
      <c r="A27" s="16" t="inlineStr">
        <is>
          <t>ORD-1020</t>
        </is>
      </c>
      <c r="B27" s="16" t="inlineStr">
        <is>
          <t>2026-03-07</t>
        </is>
      </c>
      <c r="C27" s="17" t="inlineStr">
        <is>
          <t>คุณเกรียงไกร ชาญวิชิต</t>
        </is>
      </c>
      <c r="D27" s="17" t="inlineStr">
        <is>
          <t>เสื้อกล้ามสปอร์ต</t>
        </is>
      </c>
      <c r="E27" s="17" t="inlineStr">
        <is>
          <t>ดำ</t>
        </is>
      </c>
      <c r="F27" s="16" t="inlineStr">
        <is>
          <t>L</t>
        </is>
      </c>
      <c r="G27" s="18" t="n">
        <v>2</v>
      </c>
      <c r="H27" s="19" t="n">
        <v>220</v>
      </c>
      <c r="I27" s="19" t="n">
        <v>440</v>
      </c>
      <c r="J27" s="17" t="inlineStr">
        <is>
          <t>Shopee</t>
        </is>
      </c>
      <c r="K27" s="17" t="inlineStr">
        <is>
          <t>ปกติ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5" customWidth="1" min="3" max="3"/>
  </cols>
  <sheetData>
    <row r="1"/>
    <row r="2">
      <c r="B2" s="25" t="inlineStr">
        <is>
          <t>กับดักที่ 1: ข้อมูลซ้ำซ้อน (Duplicate Records)</t>
        </is>
      </c>
    </row>
    <row r="3">
      <c r="B3" s="26" t="inlineStr">
        <is>
          <t>ไฟล์ตัวอย่างชุดข้อมูลยอดขายที่มีออเดอร์บันทึกเบิ้ลจากการรวมข้อมูลหลายแพลตฟอร์ม</t>
        </is>
      </c>
    </row>
    <row r="4"/>
    <row r="5">
      <c r="B5" s="27" t="inlineStr">
        <is>
          <t>กับดักข้อมูลสกปรก (Dirty Data Trap):</t>
        </is>
      </c>
      <c r="C5" s="28" t="inlineStr">
        <is>
          <t>Trap 1: Duplicate Records</t>
        </is>
      </c>
    </row>
    <row r="6">
      <c r="B6" s="28" t="inlineStr">
        <is>
          <t>ลักษณะข้อมูลที่ไม่ถูกต้องในตารางนี้:</t>
        </is>
      </c>
      <c r="C6" s="29" t="inlineStr">
        <is>
          <t>มีแถวออเดอร์บันทึกซ้ำกันทุกตัวอักษรเนื่องจากลูกค้ากดสั่งเบิ้ล หรือรวมไฟล์ซ้ำซ้อน</t>
        </is>
      </c>
    </row>
    <row r="7"/>
    <row r="8">
      <c r="B8" s="30" t="inlineStr">
        <is>
          <t>ทำไมจึงเป็นปัญหาต่อธุรกิจ? (Pain Points &amp; GIGO):</t>
        </is>
      </c>
    </row>
    <row r="9">
      <c r="B9" s="31" t="inlineStr">
        <is>
          <t>❌</t>
        </is>
      </c>
      <c r="C9" s="29" t="inlineStr">
        <is>
          <t>ยอดขายรวมพองเกินจริง: มีแถวออเดอร์เบิ้ลถึง 6 แถว รวมมูลค่าเงินซ้ำซ้อนกว่า 4,500 บาท</t>
        </is>
      </c>
    </row>
    <row r="10">
      <c r="B10" s="31" t="inlineStr">
        <is>
          <t>❌</t>
        </is>
      </c>
      <c r="C10" s="29" t="inlineStr">
        <is>
          <t>ตัดสต็อกสินค้าผิดพลาด: ระบบคำนวณว่าตัดสต็อกเสื้อยีนส์และเดรสไป 2 เท่า จนเกิดปัญหาสต็อกขาด</t>
        </is>
      </c>
    </row>
    <row r="11">
      <c r="B11" s="31" t="inlineStr">
        <is>
          <t>❌</t>
        </is>
      </c>
      <c r="C11" s="29" t="inlineStr">
        <is>
          <t>กระทบต่อการยิงแอดและการขนส่ง: ส่งสินค้าหรือแจ้งเตือนสถานะซ้ำซ้อนให้ลูกค้ารายเดิม</t>
        </is>
      </c>
    </row>
    <row r="12"/>
    <row r="13">
      <c r="B13" s="32" t="inlineStr">
        <is>
          <t>วิธีแก้ไขตามมาตรฐาน Session 5 (Best Practices):</t>
        </is>
      </c>
    </row>
    <row r="14">
      <c r="B14" s="31" t="inlineStr">
        <is>
          <t>✔️</t>
        </is>
      </c>
      <c r="C14" s="29" t="inlineStr">
        <is>
          <t>สำรองชีตดิบเป็น 'raw_data_backup' ก่อนเสมอ (ห้ามแก้ทับไฟล์เดิม)</t>
        </is>
      </c>
    </row>
    <row r="15">
      <c r="B15" s="31" t="inlineStr">
        <is>
          <t>✔️</t>
        </is>
      </c>
      <c r="C15" s="29" t="inlineStr">
        <is>
          <t>คลุมตารางแล้วใช้เมนู Data &gt; Data cleanup &gt; Remove duplicates</t>
        </is>
      </c>
    </row>
    <row r="16">
      <c r="B16" s="31" t="inlineStr">
        <is>
          <t>✔️</t>
        </is>
      </c>
      <c r="C16" s="29" t="inlineStr">
        <is>
          <t>ติ๊ก 'Data has header row' และเลือกคอลัมน์ Order_ID เพื่อตัดแถวที่คีย์เบิ้ลออก</t>
        </is>
      </c>
    </row>
    <row r="17">
      <c r="B17" s="31" t="inlineStr">
        <is>
          <t>✔️</t>
        </is>
      </c>
      <c r="C17" s="29" t="inlineStr">
        <is>
          <t>บันทึกประวัติการลบ 6 แถวลงใน Data Cleaning Log</t>
        </is>
      </c>
    </row>
    <row r="18"/>
    <row r="19">
      <c r="B19" s="33" t="inlineStr">
        <is>
          <t>เครื่องมือ &amp; สูตร Google Sheets ที่ใช้:</t>
        </is>
      </c>
      <c r="C19" s="28" t="inlineStr">
        <is>
          <t>Data &gt; Data cleanup &gt; Remove duplicates หรือสูตร =UNIQUE()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3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44" customWidth="1" min="10" max="10"/>
  </cols>
  <sheetData>
    <row r="1">
      <c r="A1" s="15" t="inlineStr">
        <is>
          <t>Item_ID</t>
        </is>
      </c>
      <c r="B1" s="15" t="inlineStr">
        <is>
          <t>Date</t>
        </is>
      </c>
      <c r="C1" s="15" t="inlineStr">
        <is>
          <t>Menu_Name_Raw</t>
        </is>
      </c>
      <c r="D1" s="15" t="inlineStr">
        <is>
          <t>LEN_Audit</t>
        </is>
      </c>
      <c r="E1" s="15" t="inlineStr">
        <is>
          <t>Category</t>
        </is>
      </c>
      <c r="F1" s="15" t="inlineStr">
        <is>
          <t>Size</t>
        </is>
      </c>
      <c r="G1" s="15" t="inlineStr">
        <is>
          <t>Price</t>
        </is>
      </c>
      <c r="H1" s="15" t="inlineStr">
        <is>
          <t>Qty_Sold</t>
        </is>
      </c>
      <c r="I1" s="15" t="inlineStr">
        <is>
          <t>Revenue</t>
        </is>
      </c>
      <c r="J1" s="15" t="inlineStr">
        <is>
          <t>Note_Typo_Issue</t>
        </is>
      </c>
    </row>
    <row r="2">
      <c r="A2" s="16" t="inlineStr">
        <is>
          <t>HB-01</t>
        </is>
      </c>
      <c r="B2" s="16" t="inlineStr">
        <is>
          <t>2026-03-01</t>
        </is>
      </c>
      <c r="C2" s="17" t="inlineStr">
        <is>
          <t>ข้าวยำอกไก่ย่าง</t>
        </is>
      </c>
      <c r="D2" s="18">
        <f>LEN(C2)</f>
        <v/>
      </c>
      <c r="E2" s="17" t="inlineStr">
        <is>
          <t>อาหารคลีน</t>
        </is>
      </c>
      <c r="F2" s="16" t="inlineStr">
        <is>
          <t>M</t>
        </is>
      </c>
      <c r="G2" s="19" t="n">
        <v>129</v>
      </c>
      <c r="H2" s="18" t="n">
        <v>15</v>
      </c>
      <c r="I2" s="19">
        <f>G2*H2</f>
        <v/>
      </c>
      <c r="J2" s="17" t="inlineStr">
        <is>
          <t>ปกติ (ความยาว 14 ตัว)</t>
        </is>
      </c>
    </row>
    <row r="3">
      <c r="A3" s="16" t="inlineStr">
        <is>
          <t>HB-02</t>
        </is>
      </c>
      <c r="B3" s="16" t="inlineStr">
        <is>
          <t>2026-03-01</t>
        </is>
      </c>
      <c r="C3" s="21" t="inlineStr">
        <is>
          <t xml:space="preserve"> ข้าวยำอกไก่ย่าง</t>
        </is>
      </c>
      <c r="D3" s="22">
        <f>LEN(C3)</f>
        <v/>
      </c>
      <c r="E3" s="17" t="inlineStr">
        <is>
          <t>อาหารคลีน</t>
        </is>
      </c>
      <c r="F3" s="20" t="inlineStr">
        <is>
          <t>M</t>
        </is>
      </c>
      <c r="G3" s="19" t="n">
        <v>129</v>
      </c>
      <c r="H3" s="18" t="n">
        <v>8</v>
      </c>
      <c r="I3" s="19">
        <f>G3*H3</f>
        <v/>
      </c>
      <c r="J3" s="21" t="inlineStr">
        <is>
          <t>มี Space ข้างหน้า (Pivot แยกแถว)</t>
        </is>
      </c>
    </row>
    <row r="4">
      <c r="A4" s="16" t="inlineStr">
        <is>
          <t>HB-03</t>
        </is>
      </c>
      <c r="B4" s="16" t="inlineStr">
        <is>
          <t>2026-03-01</t>
        </is>
      </c>
      <c r="C4" s="21" t="inlineStr">
        <is>
          <t xml:space="preserve">ข้าวยำอกไก่ย่าง </t>
        </is>
      </c>
      <c r="D4" s="22">
        <f>LEN(C4)</f>
        <v/>
      </c>
      <c r="E4" s="17" t="inlineStr">
        <is>
          <t>อาหารคลีน</t>
        </is>
      </c>
      <c r="F4" s="20" t="inlineStr">
        <is>
          <t>m</t>
        </is>
      </c>
      <c r="G4" s="19" t="n">
        <v>129</v>
      </c>
      <c r="H4" s="18" t="n">
        <v>12</v>
      </c>
      <c r="I4" s="19">
        <f>G4*H4</f>
        <v/>
      </c>
      <c r="J4" s="21" t="inlineStr">
        <is>
          <t>มี Space ข้างหลัง + ไซส์ตัวพิมพ์เล็ก 'm'</t>
        </is>
      </c>
    </row>
    <row r="5">
      <c r="A5" s="16" t="inlineStr">
        <is>
          <t>HB-04</t>
        </is>
      </c>
      <c r="B5" s="16" t="inlineStr">
        <is>
          <t>2026-03-01</t>
        </is>
      </c>
      <c r="C5" s="21" t="inlineStr">
        <is>
          <t>ข้าวยำ   อกไก่ย่าง</t>
        </is>
      </c>
      <c r="D5" s="22">
        <f>LEN(C5)</f>
        <v/>
      </c>
      <c r="E5" s="17" t="inlineStr">
        <is>
          <t>อาหารคลีน</t>
        </is>
      </c>
      <c r="F5" s="20" t="inlineStr">
        <is>
          <t>M</t>
        </is>
      </c>
      <c r="G5" s="19" t="n">
        <v>129</v>
      </c>
      <c r="H5" s="18" t="n">
        <v>6</v>
      </c>
      <c r="I5" s="19">
        <f>G5*H5</f>
        <v/>
      </c>
      <c r="J5" s="21" t="inlineStr">
        <is>
          <t>Space ตรงกลาง 3 เคาะ</t>
        </is>
      </c>
    </row>
    <row r="6">
      <c r="A6" s="16" t="inlineStr">
        <is>
          <t>HB-05</t>
        </is>
      </c>
      <c r="B6" s="16" t="inlineStr">
        <is>
          <t>2026-03-02</t>
        </is>
      </c>
      <c r="C6" s="17" t="inlineStr">
        <is>
          <t>สลัดแซลมอนย่าง</t>
        </is>
      </c>
      <c r="D6" s="18">
        <f>LEN(C6)</f>
        <v/>
      </c>
      <c r="E6" s="17" t="inlineStr">
        <is>
          <t>สลัดเพื่อสุขภาพ</t>
        </is>
      </c>
      <c r="F6" s="16" t="inlineStr">
        <is>
          <t>L</t>
        </is>
      </c>
      <c r="G6" s="19" t="n">
        <v>189</v>
      </c>
      <c r="H6" s="18" t="n">
        <v>10</v>
      </c>
      <c r="I6" s="19">
        <f>G6*H6</f>
        <v/>
      </c>
      <c r="J6" s="17" t="inlineStr">
        <is>
          <t>ปกติ</t>
        </is>
      </c>
    </row>
    <row r="7">
      <c r="A7" s="16" t="inlineStr">
        <is>
          <t>HB-06</t>
        </is>
      </c>
      <c r="B7" s="16" t="inlineStr">
        <is>
          <t>2026-03-02</t>
        </is>
      </c>
      <c r="C7" s="21" t="inlineStr">
        <is>
          <t xml:space="preserve">  สลัดแซลมอนย่าง </t>
        </is>
      </c>
      <c r="D7" s="22">
        <f>LEN(C7)</f>
        <v/>
      </c>
      <c r="E7" s="17" t="inlineStr">
        <is>
          <t>สลัดเพื่อสุขภาพ</t>
        </is>
      </c>
      <c r="F7" s="20" t="inlineStr">
        <is>
          <t>l</t>
        </is>
      </c>
      <c r="G7" s="19" t="n">
        <v>189</v>
      </c>
      <c r="H7" s="18" t="n">
        <v>4</v>
      </c>
      <c r="I7" s="19">
        <f>G7*H7</f>
        <v/>
      </c>
      <c r="J7" s="21" t="inlineStr">
        <is>
          <t>Space ทั้งหน้าและหลัง + ไซส์ 'l'</t>
        </is>
      </c>
    </row>
    <row r="8">
      <c r="A8" s="16" t="inlineStr">
        <is>
          <t>HB-07</t>
        </is>
      </c>
      <c r="B8" s="16" t="inlineStr">
        <is>
          <t>2026-03-02</t>
        </is>
      </c>
      <c r="C8" s="17" t="inlineStr">
        <is>
          <t>สเต็กเต้าหู้เห็ดหอม</t>
        </is>
      </c>
      <c r="D8" s="18">
        <f>LEN(C8)</f>
        <v/>
      </c>
      <c r="E8" s="17" t="inlineStr">
        <is>
          <t>มังสวิรัติ</t>
        </is>
      </c>
      <c r="F8" s="16" t="inlineStr">
        <is>
          <t>Standard</t>
        </is>
      </c>
      <c r="G8" s="19" t="n">
        <v>119</v>
      </c>
      <c r="H8" s="18" t="n">
        <v>7</v>
      </c>
      <c r="I8" s="19">
        <f>G8*H8</f>
        <v/>
      </c>
      <c r="J8" s="17" t="inlineStr">
        <is>
          <t>ปกติ</t>
        </is>
      </c>
    </row>
    <row r="9">
      <c r="A9" s="16" t="inlineStr">
        <is>
          <t>HB-08</t>
        </is>
      </c>
      <c r="B9" s="16" t="inlineStr">
        <is>
          <t>2026-03-02</t>
        </is>
      </c>
      <c r="C9" s="21" t="inlineStr">
        <is>
          <t>สเต๊กเต้าหู้เห็ดหอม</t>
        </is>
      </c>
      <c r="D9" s="22">
        <f>LEN(C9)</f>
        <v/>
      </c>
      <c r="E9" s="17" t="inlineStr">
        <is>
          <t>มังสวิรัติ</t>
        </is>
      </c>
      <c r="F9" s="20" t="inlineStr">
        <is>
          <t>Standard</t>
        </is>
      </c>
      <c r="G9" s="19" t="n">
        <v>119</v>
      </c>
      <c r="H9" s="18" t="n">
        <v>5</v>
      </c>
      <c r="I9" s="19">
        <f>G9*H9</f>
        <v/>
      </c>
      <c r="J9" s="21" t="inlineStr">
        <is>
          <t>สะกดผิด 'สเต๊ก' (ไม้ตรี vs ไม้โท)</t>
        </is>
      </c>
    </row>
    <row r="10">
      <c r="A10" s="16" t="inlineStr">
        <is>
          <t>HB-09</t>
        </is>
      </c>
      <c r="B10" s="16" t="inlineStr">
        <is>
          <t>2026-03-03</t>
        </is>
      </c>
      <c r="C10" s="17" t="inlineStr">
        <is>
          <t>น้ำผลไม้สกัดเย็น</t>
        </is>
      </c>
      <c r="D10" s="18">
        <f>LEN(C10)</f>
        <v/>
      </c>
      <c r="E10" s="17" t="inlineStr">
        <is>
          <t>เครื่องดื่ม</t>
        </is>
      </c>
      <c r="F10" s="16" t="inlineStr">
        <is>
          <t>Bottle</t>
        </is>
      </c>
      <c r="G10" s="19" t="n">
        <v>85</v>
      </c>
      <c r="H10" s="18" t="n">
        <v>20</v>
      </c>
      <c r="I10" s="19">
        <f>G10*H10</f>
        <v/>
      </c>
      <c r="J10" s="17" t="inlineStr">
        <is>
          <t>ปกติ</t>
        </is>
      </c>
    </row>
    <row r="11">
      <c r="A11" s="16" t="inlineStr">
        <is>
          <t>HB-10</t>
        </is>
      </c>
      <c r="B11" s="16" t="inlineStr">
        <is>
          <t>2026-03-03</t>
        </is>
      </c>
      <c r="C11" s="21" t="inlineStr">
        <is>
          <t>Cold-Pressed Juice</t>
        </is>
      </c>
      <c r="D11" s="22">
        <f>LEN(C11)</f>
        <v/>
      </c>
      <c r="E11" s="17" t="inlineStr">
        <is>
          <t>Beverage</t>
        </is>
      </c>
      <c r="F11" s="20" t="inlineStr">
        <is>
          <t>bottle</t>
        </is>
      </c>
      <c r="G11" s="19" t="n">
        <v>85</v>
      </c>
      <c r="H11" s="18" t="n">
        <v>14</v>
      </c>
      <c r="I11" s="19">
        <f>G11*H11</f>
        <v/>
      </c>
      <c r="J11" s="21" t="inlineStr">
        <is>
          <t>ใช้ภาษาอังกฤษปน ไม่ตรงมาตรฐานภาษาไทย</t>
        </is>
      </c>
    </row>
    <row r="12">
      <c r="A12" s="16" t="inlineStr">
        <is>
          <t>HB-11</t>
        </is>
      </c>
      <c r="B12" s="16" t="inlineStr">
        <is>
          <t>2026-03-03</t>
        </is>
      </c>
      <c r="C12" s="21" t="inlineStr">
        <is>
          <t xml:space="preserve"> น้ำผลไม้สกัดเย็น </t>
        </is>
      </c>
      <c r="D12" s="22">
        <f>LEN(C12)</f>
        <v/>
      </c>
      <c r="E12" s="17" t="inlineStr">
        <is>
          <t>เครื่องดื่ม</t>
        </is>
      </c>
      <c r="F12" s="20" t="inlineStr">
        <is>
          <t>Bottle</t>
        </is>
      </c>
      <c r="G12" s="19" t="n">
        <v>85</v>
      </c>
      <c r="H12" s="18" t="n">
        <v>11</v>
      </c>
      <c r="I12" s="19">
        <f>G12*H12</f>
        <v/>
      </c>
      <c r="J12" s="21" t="inlineStr">
        <is>
          <t>ช่องว่างหน้าหลัง</t>
        </is>
      </c>
    </row>
    <row r="13">
      <c r="A13" s="16" t="inlineStr">
        <is>
          <t>HB-12</t>
        </is>
      </c>
      <c r="B13" s="16" t="inlineStr">
        <is>
          <t>2026-03-04</t>
        </is>
      </c>
      <c r="C13" s="17" t="inlineStr">
        <is>
          <t>อกไก่นุ่มพริกไทยดำ</t>
        </is>
      </c>
      <c r="D13" s="18">
        <f>LEN(C13)</f>
        <v/>
      </c>
      <c r="E13" s="17" t="inlineStr">
        <is>
          <t>อาหารคลีน</t>
        </is>
      </c>
      <c r="F13" s="16" t="inlineStr">
        <is>
          <t>S</t>
        </is>
      </c>
      <c r="G13" s="19" t="n">
        <v>99</v>
      </c>
      <c r="H13" s="18" t="n">
        <v>18</v>
      </c>
      <c r="I13" s="19">
        <f>G13*H13</f>
        <v/>
      </c>
      <c r="J13" s="17" t="inlineStr">
        <is>
          <t>ปกติ</t>
        </is>
      </c>
    </row>
    <row r="14">
      <c r="A14" s="16" t="inlineStr">
        <is>
          <t>HB-13</t>
        </is>
      </c>
      <c r="B14" s="16" t="inlineStr">
        <is>
          <t>2026-03-04</t>
        </is>
      </c>
      <c r="C14" s="21" t="inlineStr">
        <is>
          <t xml:space="preserve">อกไก่นุ่มพริกไทยดำ </t>
        </is>
      </c>
      <c r="D14" s="22">
        <f>LEN(C14)</f>
        <v/>
      </c>
      <c r="E14" s="17" t="inlineStr">
        <is>
          <t>อาหารคลีน</t>
        </is>
      </c>
      <c r="F14" s="20" t="inlineStr">
        <is>
          <t>s</t>
        </is>
      </c>
      <c r="G14" s="19" t="n">
        <v>99</v>
      </c>
      <c r="H14" s="18" t="n">
        <v>9</v>
      </c>
      <c r="I14" s="19">
        <f>G14*H14</f>
        <v/>
      </c>
      <c r="J14" s="21" t="inlineStr">
        <is>
          <t>มีช่องว่างท้ายคำ + ไซส์ตัวเล็ก</t>
        </is>
      </c>
    </row>
    <row r="15">
      <c r="A15" s="16" t="inlineStr">
        <is>
          <t>HB-14</t>
        </is>
      </c>
      <c r="B15" s="16" t="inlineStr">
        <is>
          <t>2026-03-04</t>
        </is>
      </c>
      <c r="C15" s="21" t="inlineStr">
        <is>
          <t xml:space="preserve"> อกไก่นุ่ม พริกไทยดำ</t>
        </is>
      </c>
      <c r="D15" s="22">
        <f>LEN(C15)</f>
        <v/>
      </c>
      <c r="E15" s="17" t="inlineStr">
        <is>
          <t>อาหารคลีน</t>
        </is>
      </c>
      <c r="F15" s="20" t="inlineStr">
        <is>
          <t>S</t>
        </is>
      </c>
      <c r="G15" s="19" t="n">
        <v>99</v>
      </c>
      <c r="H15" s="18" t="n">
        <v>5</v>
      </c>
      <c r="I15" s="19">
        <f>G15*H15</f>
        <v/>
      </c>
      <c r="J15" s="21" t="inlineStr">
        <is>
          <t>Space ด้านหน้าและเคาะตรงกลาง</t>
        </is>
      </c>
    </row>
    <row r="16">
      <c r="A16" s="16" t="inlineStr">
        <is>
          <t>HB-15</t>
        </is>
      </c>
      <c r="B16" s="16" t="inlineStr">
        <is>
          <t>2026-03-05</t>
        </is>
      </c>
      <c r="C16" s="17" t="inlineStr">
        <is>
          <t>ข้าวไรซ์เบอร์รี่ลาบปลาแซลมอน</t>
        </is>
      </c>
      <c r="D16" s="18">
        <f>LEN(C16)</f>
        <v/>
      </c>
      <c r="E16" s="17" t="inlineStr">
        <is>
          <t>อาหารคลีน</t>
        </is>
      </c>
      <c r="F16" s="16" t="inlineStr">
        <is>
          <t>M</t>
        </is>
      </c>
      <c r="G16" s="19" t="n">
        <v>159</v>
      </c>
      <c r="H16" s="18" t="n">
        <v>12</v>
      </c>
      <c r="I16" s="19">
        <f>G16*H16</f>
        <v/>
      </c>
      <c r="J16" s="17" t="inlineStr">
        <is>
          <t>ปกติ</t>
        </is>
      </c>
    </row>
    <row r="17">
      <c r="A17" s="16" t="inlineStr">
        <is>
          <t>HB-16</t>
        </is>
      </c>
      <c r="B17" s="16" t="inlineStr">
        <is>
          <t>2026-03-05</t>
        </is>
      </c>
      <c r="C17" s="21" t="inlineStr">
        <is>
          <t>ข้าวไรซ์เบอรี่ลาบปลาแซลมอน</t>
        </is>
      </c>
      <c r="D17" s="22">
        <f>LEN(C17)</f>
        <v/>
      </c>
      <c r="E17" s="17" t="inlineStr">
        <is>
          <t>อาหารคลีน</t>
        </is>
      </c>
      <c r="F17" s="20" t="inlineStr">
        <is>
          <t>m</t>
        </is>
      </c>
      <c r="G17" s="19" t="n">
        <v>159</v>
      </c>
      <c r="H17" s="18" t="n">
        <v>7</v>
      </c>
      <c r="I17" s="19">
        <f>G17*H17</f>
        <v/>
      </c>
      <c r="J17" s="21" t="inlineStr">
        <is>
          <t>สะกดผิด 'ไรซ์เบอรี่' (ขาดไม้หันอากาศ รร)</t>
        </is>
      </c>
    </row>
    <row r="18">
      <c r="A18" s="16" t="inlineStr">
        <is>
          <t>HB-17</t>
        </is>
      </c>
      <c r="B18" s="16" t="inlineStr">
        <is>
          <t>2026-03-05</t>
        </is>
      </c>
      <c r="C18" s="17" t="inlineStr">
        <is>
          <t>ซุปฟักทองญี่ปุ่น</t>
        </is>
      </c>
      <c r="D18" s="18">
        <f>LEN(C18)</f>
        <v/>
      </c>
      <c r="E18" s="17" t="inlineStr">
        <is>
          <t>ซุป &amp; ของทานเล่น</t>
        </is>
      </c>
      <c r="F18" s="16" t="inlineStr">
        <is>
          <t>Cup</t>
        </is>
      </c>
      <c r="G18" s="19" t="n">
        <v>79</v>
      </c>
      <c r="H18" s="18" t="n">
        <v>16</v>
      </c>
      <c r="I18" s="19">
        <f>G18*H18</f>
        <v/>
      </c>
      <c r="J18" s="17" t="inlineStr">
        <is>
          <t>ปกติ</t>
        </is>
      </c>
    </row>
    <row r="19">
      <c r="A19" s="16" t="inlineStr">
        <is>
          <t>HB-18</t>
        </is>
      </c>
      <c r="B19" s="16" t="inlineStr">
        <is>
          <t>2026-03-06</t>
        </is>
      </c>
      <c r="C19" s="21" t="inlineStr">
        <is>
          <t xml:space="preserve"> ซุปฟักทองญี่ปุ่น</t>
        </is>
      </c>
      <c r="D19" s="22">
        <f>LEN(C19)</f>
        <v/>
      </c>
      <c r="E19" s="17" t="inlineStr">
        <is>
          <t>ซุป &amp; ของทานเล่น</t>
        </is>
      </c>
      <c r="F19" s="20" t="inlineStr">
        <is>
          <t>cup</t>
        </is>
      </c>
      <c r="G19" s="19" t="n">
        <v>79</v>
      </c>
      <c r="H19" s="18" t="n">
        <v>8</v>
      </c>
      <c r="I19" s="19">
        <f>G19*H19</f>
        <v/>
      </c>
      <c r="J19" s="21" t="inlineStr">
        <is>
          <t>Space ข้างหน้า + cup ตัวพิมพ์เล็ก</t>
        </is>
      </c>
    </row>
    <row r="20">
      <c r="A20" s="16" t="inlineStr">
        <is>
          <t>HB-19</t>
        </is>
      </c>
      <c r="B20" s="16" t="inlineStr">
        <is>
          <t>2026-03-06</t>
        </is>
      </c>
      <c r="C20" s="17" t="inlineStr">
        <is>
          <t>ยำทูน่าสมุนไพรสด</t>
        </is>
      </c>
      <c r="D20" s="18">
        <f>LEN(C20)</f>
        <v/>
      </c>
      <c r="E20" s="17" t="inlineStr">
        <is>
          <t>สลัดเพื่อสุขภาพ</t>
        </is>
      </c>
      <c r="F20" s="16" t="inlineStr">
        <is>
          <t>M</t>
        </is>
      </c>
      <c r="G20" s="19" t="n">
        <v>139</v>
      </c>
      <c r="H20" s="18" t="n">
        <v>14</v>
      </c>
      <c r="I20" s="19">
        <f>G20*H20</f>
        <v/>
      </c>
      <c r="J20" s="17" t="inlineStr">
        <is>
          <t>ปกติ</t>
        </is>
      </c>
    </row>
    <row r="21">
      <c r="A21" s="16" t="inlineStr">
        <is>
          <t>HB-20</t>
        </is>
      </c>
      <c r="B21" s="16" t="inlineStr">
        <is>
          <t>2026-03-06</t>
        </is>
      </c>
      <c r="C21" s="21" t="inlineStr">
        <is>
          <t xml:space="preserve">ยำทูน่าสมุนไพรสด </t>
        </is>
      </c>
      <c r="D21" s="22">
        <f>LEN(C21)</f>
        <v/>
      </c>
      <c r="E21" s="17" t="inlineStr">
        <is>
          <t>สลัดเพื่อสุขภาพ</t>
        </is>
      </c>
      <c r="F21" s="20" t="inlineStr">
        <is>
          <t>M</t>
        </is>
      </c>
      <c r="G21" s="19" t="n">
        <v>139</v>
      </c>
      <c r="H21" s="18" t="n">
        <v>6</v>
      </c>
      <c r="I21" s="19">
        <f>G21*H21</f>
        <v/>
      </c>
      <c r="J21" s="21" t="inlineStr">
        <is>
          <t>Space ท้ายคำ</t>
        </is>
      </c>
    </row>
    <row r="22">
      <c r="A22" s="16" t="inlineStr">
        <is>
          <t>HB-21</t>
        </is>
      </c>
      <c r="B22" s="16" t="inlineStr">
        <is>
          <t>2026-03-07</t>
        </is>
      </c>
      <c r="C22" s="17" t="inlineStr">
        <is>
          <t>กรีกโยเกิร์ตผลไม้รวม</t>
        </is>
      </c>
      <c r="D22" s="18">
        <f>LEN(C22)</f>
        <v/>
      </c>
      <c r="E22" s="17" t="inlineStr">
        <is>
          <t>ของหวานเพื่อสุขภาพ</t>
        </is>
      </c>
      <c r="F22" s="16" t="inlineStr">
        <is>
          <t>Bowl</t>
        </is>
      </c>
      <c r="G22" s="19" t="n">
        <v>109</v>
      </c>
      <c r="H22" s="18" t="n">
        <v>15</v>
      </c>
      <c r="I22" s="19">
        <f>G22*H22</f>
        <v/>
      </c>
      <c r="J22" s="17" t="inlineStr">
        <is>
          <t>ปกติ</t>
        </is>
      </c>
    </row>
    <row r="23">
      <c r="A23" s="16" t="inlineStr">
        <is>
          <t>HB-22</t>
        </is>
      </c>
      <c r="B23" s="16" t="inlineStr">
        <is>
          <t>2026-03-07</t>
        </is>
      </c>
      <c r="C23" s="21" t="inlineStr">
        <is>
          <t xml:space="preserve"> กรีกโยเกิร์ตผลไม้รวม </t>
        </is>
      </c>
      <c r="D23" s="22">
        <f>LEN(C23)</f>
        <v/>
      </c>
      <c r="E23" s="17" t="inlineStr">
        <is>
          <t>ของหวานเพื่อสุขภาพ</t>
        </is>
      </c>
      <c r="F23" s="20" t="inlineStr">
        <is>
          <t>bowl</t>
        </is>
      </c>
      <c r="G23" s="19" t="n">
        <v>109</v>
      </c>
      <c r="H23" s="18" t="n">
        <v>9</v>
      </c>
      <c r="I23" s="19">
        <f>G23*H23</f>
        <v/>
      </c>
      <c r="J23" s="21" t="inlineStr">
        <is>
          <t>Space หน้าหลัง + ไซส์ bowl</t>
        </is>
      </c>
    </row>
    <row r="24">
      <c r="A24" s="16" t="inlineStr">
        <is>
          <t>HB-23</t>
        </is>
      </c>
      <c r="B24" s="16" t="inlineStr">
        <is>
          <t>2026-03-07</t>
        </is>
      </c>
      <c r="C24" s="17" t="inlineStr">
        <is>
          <t>แซนด์วิชไข่ต้มอะโวคาโด</t>
        </is>
      </c>
      <c r="D24" s="18">
        <f>LEN(C24)</f>
        <v/>
      </c>
      <c r="E24" s="17" t="inlineStr">
        <is>
          <t>อาหารคลีน</t>
        </is>
      </c>
      <c r="F24" s="16" t="inlineStr">
        <is>
          <t>Set</t>
        </is>
      </c>
      <c r="G24" s="19" t="n">
        <v>95</v>
      </c>
      <c r="H24" s="18" t="n">
        <v>11</v>
      </c>
      <c r="I24" s="19">
        <f>G24*H24</f>
        <v/>
      </c>
      <c r="J24" s="17" t="inlineStr">
        <is>
          <t>ปกติ</t>
        </is>
      </c>
    </row>
    <row r="25">
      <c r="A25" s="16" t="inlineStr">
        <is>
          <t>HB-24</t>
        </is>
      </c>
      <c r="B25" s="16" t="inlineStr">
        <is>
          <t>2026-03-07</t>
        </is>
      </c>
      <c r="C25" s="21" t="inlineStr">
        <is>
          <t>แซนด์วิชไข่ต้มอโวคาโด</t>
        </is>
      </c>
      <c r="D25" s="22">
        <f>LEN(C25)</f>
        <v/>
      </c>
      <c r="E25" s="17" t="inlineStr">
        <is>
          <t>อาหารคลีน</t>
        </is>
      </c>
      <c r="F25" s="20" t="inlineStr">
        <is>
          <t>set</t>
        </is>
      </c>
      <c r="G25" s="19" t="n">
        <v>95</v>
      </c>
      <c r="H25" s="18" t="n">
        <v>7</v>
      </c>
      <c r="I25" s="19">
        <f>G25*H25</f>
        <v/>
      </c>
      <c r="J25" s="21" t="inlineStr">
        <is>
          <t>สะกดไม่เหมือนกัน 'อโวคาโด' vs 'อะโวคาโด'</t>
        </is>
      </c>
    </row>
    <row r="26">
      <c r="A26" s="16" t="inlineStr">
        <is>
          <t>HB-25</t>
        </is>
      </c>
      <c r="B26" s="16" t="inlineStr">
        <is>
          <t>2026-03-07</t>
        </is>
      </c>
      <c r="C26" s="17" t="inlineStr">
        <is>
          <t>ข้าวยำอกไก่ย่าง</t>
        </is>
      </c>
      <c r="D26" s="18">
        <f>LEN(C26)</f>
        <v/>
      </c>
      <c r="E26" s="17" t="inlineStr">
        <is>
          <t>อาหารคลีน</t>
        </is>
      </c>
      <c r="F26" s="16" t="inlineStr">
        <is>
          <t>XL</t>
        </is>
      </c>
      <c r="G26" s="19" t="n">
        <v>149</v>
      </c>
      <c r="H26" s="18" t="n">
        <v>13</v>
      </c>
      <c r="I26" s="19">
        <f>G26*H26</f>
        <v/>
      </c>
      <c r="J26" s="17" t="inlineStr">
        <is>
          <t>ปกติ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5" customWidth="1" min="3" max="3"/>
  </cols>
  <sheetData>
    <row r="1"/>
    <row r="2">
      <c r="B2" s="25" t="inlineStr">
        <is>
          <t>กับดักที่ 2: ช่องว่างล่องหน &amp; คำสะกดเพี้ยน (Whitespace &amp; Typos)</t>
        </is>
      </c>
    </row>
    <row r="3">
      <c r="B3" s="26" t="inlineStr">
        <is>
          <t>ไฟล์ตัวอย่างเมนูอาหารคลีนที่ชื่อเมนูมีช่องว่างแอบแฝงและสะกดคนละแบบจน Pivot Table พัง</t>
        </is>
      </c>
    </row>
    <row r="4"/>
    <row r="5">
      <c r="B5" s="27" t="inlineStr">
        <is>
          <t>กับดักข้อมูลสกปรก (Dirty Data Trap):</t>
        </is>
      </c>
      <c r="C5" s="28" t="inlineStr">
        <is>
          <t>Trap 2: Whitespace &amp; Inconsistent Text</t>
        </is>
      </c>
    </row>
    <row r="6">
      <c r="B6" s="28" t="inlineStr">
        <is>
          <t>ลักษณะข้อมูลที่ไม่ถูกต้องในตารางนี้:</t>
        </is>
      </c>
      <c r="C6" s="29" t="inlineStr">
        <is>
          <t>สายตามนุษย์มองว่าเหมือนกัน แต่คอมพิวเตอร์นับจำนวนตัวอักษร (LEN) ต่างกัน ทำให้รวมกลุ่มไม่ได้</t>
        </is>
      </c>
    </row>
    <row r="7"/>
    <row r="8">
      <c r="B8" s="30" t="inlineStr">
        <is>
          <t>ทำไมจึงเป็นปัญหาต่อธุรกิจ? (Pain Points &amp; GIGO):</t>
        </is>
      </c>
    </row>
    <row r="9">
      <c r="B9" s="31" t="inlineStr">
        <is>
          <t>❌</t>
        </is>
      </c>
      <c r="C9" s="29" t="inlineStr">
        <is>
          <t>Pivot Table แยกแถวเมนูยอดฮิต: เมนู 'ข้าวยำอกไก่ย่าง' แตกออกเป็น 4 บรรทัด ทำให้ดูเหมือนขายไม่ดี</t>
        </is>
      </c>
    </row>
    <row r="10">
      <c r="B10" s="31" t="inlineStr">
        <is>
          <t>❌</t>
        </is>
      </c>
      <c r="C10" s="29" t="inlineStr">
        <is>
          <t>VLOOKUP ค้นหาไม่เจอ: การดึงราคาสินค้าหรือรหัสสินค้าจะส่งผลลัพธ์เป็น #N/A เพราะช่องว่างล่องหน</t>
        </is>
      </c>
    </row>
    <row r="11">
      <c r="B11" s="31" t="inlineStr">
        <is>
          <t>❌</t>
        </is>
      </c>
      <c r="C11" s="29" t="inlineStr">
        <is>
          <t>ตัวพิมพ์เล็ก/ใหญ่ (s vs S, m vs M): ระบบฐานข้อมูลมองเป็นคนละหมวดหมู่ สรุปยอดตามขนาดสินค้าไม่ได้</t>
        </is>
      </c>
    </row>
    <row r="12"/>
    <row r="13">
      <c r="B13" s="32" t="inlineStr">
        <is>
          <t>วิธีแก้ไขตามมาตรฐาน Session 5 (Best Practices):</t>
        </is>
      </c>
    </row>
    <row r="14">
      <c r="B14" s="31" t="inlineStr">
        <is>
          <t>✔️</t>
        </is>
      </c>
      <c r="C14" s="29" t="inlineStr">
        <is>
          <t>ใช้คำสั่ง Data &gt; Data cleanup &gt; Trim whitespace เพื่อตัดช่องว่างหัว-ท้ายออกทั้งคอลัมน์</t>
        </is>
      </c>
    </row>
    <row r="15">
      <c r="B15" s="31" t="inlineStr">
        <is>
          <t>✔️</t>
        </is>
      </c>
      <c r="C15" s="29" t="inlineStr">
        <is>
          <t>ใช้สูตร =TRIM(C2) เพื่อตัดช่องว่างหน้าหลังและยุบช่องว่างตรงกลางที่เคาะเกินให้เหลือเคาะเดียว</t>
        </is>
      </c>
    </row>
    <row r="16">
      <c r="B16" s="31" t="inlineStr">
        <is>
          <t>✔️</t>
        </is>
      </c>
      <c r="C16" s="29" t="inlineStr">
        <is>
          <t>ใช้สูตร =UPPER(F2) หรือ =PROPER(F2) ปรับขนาดตัวพิมพ์ให้สม่ำเสมอเป็นมาตรฐานเดียวกัน</t>
        </is>
      </c>
    </row>
    <row r="17">
      <c r="B17" s="31" t="inlineStr">
        <is>
          <t>✔️</t>
        </is>
      </c>
      <c r="C17" s="29" t="inlineStr">
        <is>
          <t>ใช้ Edit &gt; Find and replace (Ctrl+H) ติ๊ก 'Match entire cell contents' แก้คำสะกดผิดให้ตรงกับ Master Catalog</t>
        </is>
      </c>
    </row>
    <row r="18"/>
    <row r="19">
      <c r="B19" s="33" t="inlineStr">
        <is>
          <t>เครื่องมือ &amp; สูตร Google Sheets ที่ใช้:</t>
        </is>
      </c>
      <c r="C19" s="28" t="inlineStr">
        <is>
          <t>Data cleanup &gt; Trim whitespace, =TRIM(), =UPPER(), =PROPER(), Ctrl+H (Match entire cell)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16" customWidth="1" min="5" max="5"/>
    <col width="21" customWidth="1" min="6" max="6"/>
    <col width="15" customWidth="1" min="7" max="7"/>
    <col width="20" customWidth="1" min="8" max="8"/>
    <col width="14" customWidth="1" min="9" max="9"/>
    <col width="51" customWidth="1" min="10" max="10"/>
  </cols>
  <sheetData>
    <row r="1">
      <c r="A1" s="15" t="inlineStr">
        <is>
          <t>Member_ID</t>
        </is>
      </c>
      <c r="B1" s="15" t="inlineStr">
        <is>
          <t>Full_Name</t>
        </is>
      </c>
      <c r="C1" s="15" t="inlineStr">
        <is>
          <t>Gender</t>
        </is>
      </c>
      <c r="D1" s="15" t="inlineStr">
        <is>
          <t>Age</t>
        </is>
      </c>
      <c r="E1" s="15" t="inlineStr">
        <is>
          <t>Phone_Number</t>
        </is>
      </c>
      <c r="F1" s="15" t="inlineStr">
        <is>
          <t>Package_Type</t>
        </is>
      </c>
      <c r="G1" s="15" t="inlineStr">
        <is>
          <t>Monthly_Fee</t>
        </is>
      </c>
      <c r="H1" s="15" t="inlineStr">
        <is>
          <t>Trainer_Assigned</t>
        </is>
      </c>
      <c r="I1" s="15" t="inlineStr">
        <is>
          <t>Join_Date</t>
        </is>
      </c>
      <c r="J1" s="15" t="inlineStr">
        <is>
          <t>Note_Missing_Trap</t>
        </is>
      </c>
    </row>
    <row r="2">
      <c r="A2" s="16" t="inlineStr">
        <is>
          <t>GF-101</t>
        </is>
      </c>
      <c r="B2" s="17" t="inlineStr">
        <is>
          <t>คุณสมชาย มุ่งมั่น</t>
        </is>
      </c>
      <c r="C2" s="16" t="inlineStr">
        <is>
          <t>ชาย</t>
        </is>
      </c>
      <c r="D2" s="18" t="n">
        <v>28</v>
      </c>
      <c r="E2" s="16" t="inlineStr">
        <is>
          <t>0812345678</t>
        </is>
      </c>
      <c r="F2" s="17" t="inlineStr">
        <is>
          <t>Annual Elite</t>
        </is>
      </c>
      <c r="G2" s="19" t="n">
        <v>1500</v>
      </c>
      <c r="H2" s="17" t="inlineStr">
        <is>
          <t>Coach Max</t>
        </is>
      </c>
      <c r="I2" s="16" t="inlineStr">
        <is>
          <t>2026-01-10</t>
        </is>
      </c>
      <c r="J2" s="17" t="inlineStr">
        <is>
          <t>ข้อมูลสมบูรณ์</t>
        </is>
      </c>
    </row>
    <row r="3">
      <c r="A3" s="16" t="inlineStr">
        <is>
          <t>GF-102</t>
        </is>
      </c>
      <c r="B3" s="17" t="inlineStr">
        <is>
          <t>คุณพรทิพย์ สว่างจิต</t>
        </is>
      </c>
      <c r="C3" s="16" t="inlineStr">
        <is>
          <t>หญิง</t>
        </is>
      </c>
      <c r="D3" s="18" t="n">
        <v>34</v>
      </c>
      <c r="E3" s="34" t="n"/>
      <c r="F3" s="17" t="inlineStr">
        <is>
          <t>Monthly Regular</t>
        </is>
      </c>
      <c r="G3" s="19" t="n">
        <v>1200</v>
      </c>
      <c r="H3" s="17" t="inlineStr">
        <is>
          <t>None</t>
        </is>
      </c>
      <c r="I3" s="16" t="inlineStr">
        <is>
          <t>2026-01-12</t>
        </is>
      </c>
      <c r="J3" s="35" t="inlineStr">
        <is>
          <t>เบอร์โทรว่างเปล่า (Blank)</t>
        </is>
      </c>
    </row>
    <row r="4">
      <c r="A4" s="16" t="inlineStr">
        <is>
          <t>GF-103</t>
        </is>
      </c>
      <c r="B4" s="17" t="inlineStr">
        <is>
          <t>คุณวิทูร เจริญศรี</t>
        </is>
      </c>
      <c r="C4" s="16" t="inlineStr">
        <is>
          <t>ชาย</t>
        </is>
      </c>
      <c r="D4" s="36" t="n"/>
      <c r="E4" s="16" t="inlineStr">
        <is>
          <t>0898765432</t>
        </is>
      </c>
      <c r="F4" s="17" t="inlineStr">
        <is>
          <t>Monthly Regular</t>
        </is>
      </c>
      <c r="G4" s="19" t="n">
        <v>1200</v>
      </c>
      <c r="H4" s="17" t="inlineStr">
        <is>
          <t>Coach Bank</t>
        </is>
      </c>
      <c r="I4" s="16" t="inlineStr">
        <is>
          <t>2026-01-15</t>
        </is>
      </c>
      <c r="J4" s="35" t="inlineStr">
        <is>
          <t>อายุว่างเปล่า (Missing Age)</t>
        </is>
      </c>
    </row>
    <row r="5">
      <c r="A5" s="16" t="inlineStr">
        <is>
          <t>GF-104</t>
        </is>
      </c>
      <c r="B5" s="17" t="inlineStr">
        <is>
          <t>คุณเกสร บัวงาม</t>
        </is>
      </c>
      <c r="C5" s="16" t="inlineStr">
        <is>
          <t>หญิง</t>
        </is>
      </c>
      <c r="D5" s="18" t="n">
        <v>25</v>
      </c>
      <c r="E5" s="16" t="inlineStr">
        <is>
          <t>0861112233</t>
        </is>
      </c>
      <c r="F5" s="17" t="inlineStr">
        <is>
          <t>Student Pass</t>
        </is>
      </c>
      <c r="G5" s="36" t="n"/>
      <c r="H5" s="17" t="inlineStr">
        <is>
          <t>None</t>
        </is>
      </c>
      <c r="I5" s="16" t="inlineStr">
        <is>
          <t>2026-01-18</t>
        </is>
      </c>
      <c r="J5" s="35" t="inlineStr">
        <is>
          <t>ค่าสมาชิกเว้นว่าง (Price Missing)</t>
        </is>
      </c>
    </row>
    <row r="6">
      <c r="A6" s="16" t="inlineStr">
        <is>
          <t>GF-105</t>
        </is>
      </c>
      <c r="B6" s="17" t="inlineStr">
        <is>
          <t>คุณประเสริฐ ยิ่งยง</t>
        </is>
      </c>
      <c r="C6" s="16" t="inlineStr">
        <is>
          <t>ชาย</t>
        </is>
      </c>
      <c r="D6" s="18" t="n">
        <v>42</v>
      </c>
      <c r="E6" s="34" t="inlineStr">
        <is>
          <t>-</t>
        </is>
      </c>
      <c r="F6" s="17" t="inlineStr">
        <is>
          <t>Annual Elite</t>
        </is>
      </c>
      <c r="G6" s="19" t="n">
        <v>1500</v>
      </c>
      <c r="H6" s="17" t="inlineStr">
        <is>
          <t>Coach Max</t>
        </is>
      </c>
      <c r="I6" s="16" t="inlineStr">
        <is>
          <t>2026-01-20</t>
        </is>
      </c>
      <c r="J6" s="35" t="inlineStr">
        <is>
          <t>ใส่เครื่องหมายขีด '-' แทนเบอร์โทร</t>
        </is>
      </c>
    </row>
    <row r="7">
      <c r="A7" s="16" t="inlineStr">
        <is>
          <t>GF-106</t>
        </is>
      </c>
      <c r="B7" s="17" t="inlineStr">
        <is>
          <t>คุณกัลยา พาเพลิน</t>
        </is>
      </c>
      <c r="C7" s="16" t="inlineStr">
        <is>
          <t>หญิง</t>
        </is>
      </c>
      <c r="D7" s="18" t="n">
        <v>29</v>
      </c>
      <c r="E7" s="16" t="inlineStr">
        <is>
          <t>0823334455</t>
        </is>
      </c>
      <c r="F7" s="17" t="inlineStr">
        <is>
          <t>Monthly Regular</t>
        </is>
      </c>
      <c r="G7" s="37" t="n">
        <v>0</v>
      </c>
      <c r="H7" s="17" t="inlineStr">
        <is>
          <t>Coach Bank</t>
        </is>
      </c>
      <c r="I7" s="16" t="inlineStr">
        <is>
          <t>2026-01-22</t>
        </is>
      </c>
      <c r="J7" s="35" t="inlineStr">
        <is>
          <t>ใส่เลข 0 มั่วซั่ว (ไม่ใช่โปรฟรี แต่ลืมคีย์เงิน)</t>
        </is>
      </c>
    </row>
    <row r="8">
      <c r="A8" s="16" t="inlineStr">
        <is>
          <t>GF-107</t>
        </is>
      </c>
      <c r="B8" s="17" t="inlineStr">
        <is>
          <t>คุณอดิศร วงษ์ไทย</t>
        </is>
      </c>
      <c r="C8" s="16" t="inlineStr">
        <is>
          <t>ชาย</t>
        </is>
      </c>
      <c r="D8" s="36" t="inlineStr">
        <is>
          <t>NULL</t>
        </is>
      </c>
      <c r="E8" s="16" t="inlineStr">
        <is>
          <t>0856667788</t>
        </is>
      </c>
      <c r="F8" s="17" t="inlineStr">
        <is>
          <t>Personal Training</t>
        </is>
      </c>
      <c r="G8" s="19" t="n">
        <v>2500</v>
      </c>
      <c r="H8" s="17" t="inlineStr">
        <is>
          <t>Coach Max</t>
        </is>
      </c>
      <c r="I8" s="16" t="inlineStr">
        <is>
          <t>2026-01-25</t>
        </is>
      </c>
      <c r="J8" s="35" t="inlineStr">
        <is>
          <t>พิมพ์ตัวหนังสือ 'NULL' ในช่องอายุ</t>
        </is>
      </c>
    </row>
    <row r="9">
      <c r="A9" s="16" t="inlineStr">
        <is>
          <t>GF-108</t>
        </is>
      </c>
      <c r="B9" s="17" t="inlineStr">
        <is>
          <t>คุณสิริกร มงคล</t>
        </is>
      </c>
      <c r="C9" s="16" t="inlineStr">
        <is>
          <t>หญิง</t>
        </is>
      </c>
      <c r="D9" s="18" t="n">
        <v>31</v>
      </c>
      <c r="E9" s="16" t="inlineStr">
        <is>
          <t>0879990011</t>
        </is>
      </c>
      <c r="F9" s="17" t="inlineStr">
        <is>
          <t>Annual Elite</t>
        </is>
      </c>
      <c r="G9" s="19" t="n">
        <v>1500</v>
      </c>
      <c r="H9" s="17" t="inlineStr">
        <is>
          <t>Coach Bow</t>
        </is>
      </c>
      <c r="I9" s="16" t="inlineStr">
        <is>
          <t>2026-01-28</t>
        </is>
      </c>
      <c r="J9" s="17" t="inlineStr">
        <is>
          <t>ข้อมูลสมบูรณ์</t>
        </is>
      </c>
    </row>
    <row r="10">
      <c r="A10" s="16" t="inlineStr">
        <is>
          <t>GF-109</t>
        </is>
      </c>
      <c r="B10" s="17" t="inlineStr">
        <is>
          <t>คุณปิยะ ชนะพาล</t>
        </is>
      </c>
      <c r="C10" s="16" t="inlineStr">
        <is>
          <t>ชาย</t>
        </is>
      </c>
      <c r="D10" s="18" t="n">
        <v>38</v>
      </c>
      <c r="E10" s="34" t="n"/>
      <c r="F10" s="17" t="inlineStr">
        <is>
          <t>Personal Training</t>
        </is>
      </c>
      <c r="G10" s="19" t="n">
        <v>2500</v>
      </c>
      <c r="H10" s="17" t="inlineStr">
        <is>
          <t>Coach Max</t>
        </is>
      </c>
      <c r="I10" s="16" t="inlineStr">
        <is>
          <t>2026-02-01</t>
        </is>
      </c>
      <c r="J10" s="35" t="inlineStr">
        <is>
          <t>เบอร์โทรว่าง</t>
        </is>
      </c>
    </row>
    <row r="11">
      <c r="A11" s="16" t="inlineStr">
        <is>
          <t>GF-110</t>
        </is>
      </c>
      <c r="B11" s="17" t="inlineStr">
        <is>
          <t>คุณนงลักษณ์ ดีเลิศ</t>
        </is>
      </c>
      <c r="C11" s="16" t="inlineStr">
        <is>
          <t>หญิง</t>
        </is>
      </c>
      <c r="D11" s="36" t="n"/>
      <c r="E11" s="16" t="inlineStr">
        <is>
          <t>0845556677</t>
        </is>
      </c>
      <c r="F11" s="17" t="inlineStr">
        <is>
          <t>Monthly Regular</t>
        </is>
      </c>
      <c r="G11" s="19" t="n">
        <v>1200</v>
      </c>
      <c r="H11" s="17" t="inlineStr">
        <is>
          <t>None</t>
        </is>
      </c>
      <c r="I11" s="16" t="inlineStr">
        <is>
          <t>2026-02-03</t>
        </is>
      </c>
      <c r="J11" s="35" t="inlineStr">
        <is>
          <t>อายุว่างเปล่า</t>
        </is>
      </c>
    </row>
    <row r="12">
      <c r="A12" s="16" t="inlineStr">
        <is>
          <t>GF-111</t>
        </is>
      </c>
      <c r="B12" s="17" t="inlineStr">
        <is>
          <t>คุณธวัชชัย รุ่งโรจน์</t>
        </is>
      </c>
      <c r="C12" s="16" t="inlineStr">
        <is>
          <t>ชาย</t>
        </is>
      </c>
      <c r="D12" s="18" t="n">
        <v>45</v>
      </c>
      <c r="E12" s="16" t="inlineStr">
        <is>
          <t>0819998877</t>
        </is>
      </c>
      <c r="F12" s="17" t="inlineStr">
        <is>
          <t>Annual Elite</t>
        </is>
      </c>
      <c r="G12" s="19" t="n">
        <v>1500</v>
      </c>
      <c r="H12" s="17" t="inlineStr">
        <is>
          <t>Coach Bow</t>
        </is>
      </c>
      <c r="I12" s="16" t="inlineStr">
        <is>
          <t>2026-02-05</t>
        </is>
      </c>
      <c r="J12" s="17" t="inlineStr">
        <is>
          <t>ข้อมูลสมบูรณ์</t>
        </is>
      </c>
    </row>
    <row r="13">
      <c r="A13" s="16" t="inlineStr">
        <is>
          <t>GF-112</t>
        </is>
      </c>
      <c r="B13" s="17" t="inlineStr">
        <is>
          <t>คุณพิมพา สุวรรณ</t>
        </is>
      </c>
      <c r="C13" s="16" t="inlineStr">
        <is>
          <t>หญิง</t>
        </is>
      </c>
      <c r="D13" s="18" t="n">
        <v>22</v>
      </c>
      <c r="E13" s="34" t="inlineStr">
        <is>
          <t>N/A</t>
        </is>
      </c>
      <c r="F13" s="17" t="inlineStr">
        <is>
          <t>Student Pass</t>
        </is>
      </c>
      <c r="G13" s="19" t="n">
        <v>890</v>
      </c>
      <c r="H13" s="17" t="inlineStr">
        <is>
          <t>None</t>
        </is>
      </c>
      <c r="I13" s="16" t="inlineStr">
        <is>
          <t>2026-02-08</t>
        </is>
      </c>
      <c r="J13" s="35" t="inlineStr">
        <is>
          <t>พิมพ์ 'N/A' ในช่องเบอร์โทร</t>
        </is>
      </c>
    </row>
    <row r="14">
      <c r="A14" s="16" t="inlineStr">
        <is>
          <t>GF-113</t>
        </is>
      </c>
      <c r="B14" s="17" t="inlineStr">
        <is>
          <t>คุณอนุชา ช่างกล</t>
        </is>
      </c>
      <c r="C14" s="16" t="inlineStr">
        <is>
          <t>ชาย</t>
        </is>
      </c>
      <c r="D14" s="18" t="n">
        <v>27</v>
      </c>
      <c r="E14" s="16" t="inlineStr">
        <is>
          <t>0832223344</t>
        </is>
      </c>
      <c r="F14" s="17" t="inlineStr">
        <is>
          <t>Monthly Regular</t>
        </is>
      </c>
      <c r="G14" s="36" t="n"/>
      <c r="H14" s="17" t="inlineStr">
        <is>
          <t>Coach Bank</t>
        </is>
      </c>
      <c r="I14" s="16" t="inlineStr">
        <is>
          <t>2026-02-10</t>
        </is>
      </c>
      <c r="J14" s="35" t="inlineStr">
        <is>
          <t>ค่าสมาชิกเว้นว่าง</t>
        </is>
      </c>
    </row>
    <row r="15">
      <c r="A15" s="16" t="inlineStr">
        <is>
          <t>GF-114</t>
        </is>
      </c>
      <c r="B15" s="17" t="inlineStr">
        <is>
          <t>คุณลลนา งามยิ่ง</t>
        </is>
      </c>
      <c r="C15" s="16" t="inlineStr">
        <is>
          <t>หญิง</t>
        </is>
      </c>
      <c r="D15" s="18" t="n">
        <v>36</v>
      </c>
      <c r="E15" s="16" t="inlineStr">
        <is>
          <t>0894445566</t>
        </is>
      </c>
      <c r="F15" s="17" t="inlineStr">
        <is>
          <t>Personal Training</t>
        </is>
      </c>
      <c r="G15" s="19" t="n">
        <v>2500</v>
      </c>
      <c r="H15" s="17" t="inlineStr">
        <is>
          <t>Coach Max</t>
        </is>
      </c>
      <c r="I15" s="16" t="inlineStr">
        <is>
          <t>2026-02-12</t>
        </is>
      </c>
      <c r="J15" s="17" t="inlineStr">
        <is>
          <t>ข้อมูลสมบูรณ์</t>
        </is>
      </c>
    </row>
    <row r="16">
      <c r="A16" s="16" t="inlineStr">
        <is>
          <t>GF-115</t>
        </is>
      </c>
      <c r="B16" s="17" t="inlineStr">
        <is>
          <t>คุณชัยพร สดสวย</t>
        </is>
      </c>
      <c r="C16" s="16" t="inlineStr">
        <is>
          <t>ชาย</t>
        </is>
      </c>
      <c r="D16" s="18" t="n">
        <v>33</v>
      </c>
      <c r="E16" s="34" t="n"/>
      <c r="F16" s="17" t="inlineStr">
        <is>
          <t>Monthly Regular</t>
        </is>
      </c>
      <c r="G16" s="37" t="n">
        <v>0</v>
      </c>
      <c r="H16" s="17" t="inlineStr">
        <is>
          <t>None</t>
        </is>
      </c>
      <c r="I16" s="16" t="inlineStr">
        <is>
          <t>2026-02-15</t>
        </is>
      </c>
      <c r="J16" s="35" t="inlineStr">
        <is>
          <t>เบอร์โทรว่าง + ค่าบริการใส่ 0</t>
        </is>
      </c>
    </row>
    <row r="17">
      <c r="A17" s="16" t="inlineStr">
        <is>
          <t>GF-116</t>
        </is>
      </c>
      <c r="B17" s="17" t="inlineStr">
        <is>
          <t>คุณมณฑา รุ่งเรือง</t>
        </is>
      </c>
      <c r="C17" s="16" t="inlineStr">
        <is>
          <t>หญิง</t>
        </is>
      </c>
      <c r="D17" s="18" t="n">
        <v>40</v>
      </c>
      <c r="E17" s="16" t="inlineStr">
        <is>
          <t>0867778899</t>
        </is>
      </c>
      <c r="F17" s="17" t="inlineStr">
        <is>
          <t>Annual Elite</t>
        </is>
      </c>
      <c r="G17" s="19" t="n">
        <v>1500</v>
      </c>
      <c r="H17" s="17" t="inlineStr">
        <is>
          <t>Coach Bow</t>
        </is>
      </c>
      <c r="I17" s="16" t="inlineStr">
        <is>
          <t>2026-02-18</t>
        </is>
      </c>
      <c r="J17" s="17" t="inlineStr">
        <is>
          <t>ข้อมูลสมบูรณ์</t>
        </is>
      </c>
    </row>
    <row r="18">
      <c r="A18" s="16" t="inlineStr">
        <is>
          <t>GF-117</t>
        </is>
      </c>
      <c r="B18" s="17" t="inlineStr">
        <is>
          <t>คุณยุทธนา กาญจนา</t>
        </is>
      </c>
      <c r="C18" s="16" t="inlineStr">
        <is>
          <t>ชาย</t>
        </is>
      </c>
      <c r="D18" s="36" t="n"/>
      <c r="E18" s="34" t="inlineStr">
        <is>
          <t>-</t>
        </is>
      </c>
      <c r="F18" s="17" t="inlineStr">
        <is>
          <t>Personal Training</t>
        </is>
      </c>
      <c r="G18" s="19" t="n">
        <v>2500</v>
      </c>
      <c r="H18" s="17" t="inlineStr">
        <is>
          <t>Coach Bank</t>
        </is>
      </c>
      <c r="I18" s="16" t="inlineStr">
        <is>
          <t>2026-02-20</t>
        </is>
      </c>
      <c r="J18" s="35" t="inlineStr">
        <is>
          <t>อายุว่าง + เบอร์โทรใส่ขีด</t>
        </is>
      </c>
    </row>
    <row r="19">
      <c r="A19" s="16" t="inlineStr">
        <is>
          <t>GF-118</t>
        </is>
      </c>
      <c r="B19" s="17" t="inlineStr">
        <is>
          <t>คุณสุนิสา แก้วใส</t>
        </is>
      </c>
      <c r="C19" s="16" t="inlineStr">
        <is>
          <t>หญิง</t>
        </is>
      </c>
      <c r="D19" s="18" t="n">
        <v>26</v>
      </c>
      <c r="E19" s="16" t="inlineStr">
        <is>
          <t>0881119922</t>
        </is>
      </c>
      <c r="F19" s="17" t="inlineStr">
        <is>
          <t>Student Pass</t>
        </is>
      </c>
      <c r="G19" s="19" t="n">
        <v>890</v>
      </c>
      <c r="H19" s="17" t="inlineStr">
        <is>
          <t>None</t>
        </is>
      </c>
      <c r="I19" s="16" t="inlineStr">
        <is>
          <t>2026-02-22</t>
        </is>
      </c>
      <c r="J19" s="17" t="inlineStr">
        <is>
          <t>ข้อมูลสมบูรณ์</t>
        </is>
      </c>
    </row>
    <row r="20">
      <c r="A20" s="16" t="inlineStr">
        <is>
          <t>GF-119</t>
        </is>
      </c>
      <c r="B20" s="17" t="inlineStr">
        <is>
          <t>คุณธีระ มหาลาภ</t>
        </is>
      </c>
      <c r="C20" s="16" t="inlineStr">
        <is>
          <t>ชาย</t>
        </is>
      </c>
      <c r="D20" s="18" t="n">
        <v>50</v>
      </c>
      <c r="E20" s="16" t="inlineStr">
        <is>
          <t>0824441133</t>
        </is>
      </c>
      <c r="F20" s="17" t="inlineStr">
        <is>
          <t>Annual Elite</t>
        </is>
      </c>
      <c r="G20" s="19" t="n">
        <v>1500</v>
      </c>
      <c r="H20" s="17" t="inlineStr">
        <is>
          <t>Coach Max</t>
        </is>
      </c>
      <c r="I20" s="16" t="inlineStr">
        <is>
          <t>2026-02-25</t>
        </is>
      </c>
      <c r="J20" s="17" t="inlineStr">
        <is>
          <t>ข้อมูลสมบูรณ์</t>
        </is>
      </c>
    </row>
    <row r="21">
      <c r="A21" s="16" t="inlineStr">
        <is>
          <t>GF-120</t>
        </is>
      </c>
      <c r="B21" s="17" t="inlineStr">
        <is>
          <t>คุณนภา แจ่มจรัส</t>
        </is>
      </c>
      <c r="C21" s="16" t="inlineStr">
        <is>
          <t>หญิง</t>
        </is>
      </c>
      <c r="D21" s="18" t="n">
        <v>24</v>
      </c>
      <c r="E21" s="34" t="n"/>
      <c r="F21" s="17" t="inlineStr">
        <is>
          <t>Monthly Regular</t>
        </is>
      </c>
      <c r="G21" s="19" t="n">
        <v>1200</v>
      </c>
      <c r="H21" s="17" t="inlineStr">
        <is>
          <t>Coach Bow</t>
        </is>
      </c>
      <c r="I21" s="16" t="inlineStr">
        <is>
          <t>2026-02-26</t>
        </is>
      </c>
      <c r="J21" s="35" t="inlineStr">
        <is>
          <t>เบอร์โทรว่าง</t>
        </is>
      </c>
    </row>
    <row r="22">
      <c r="A22" s="16" t="inlineStr">
        <is>
          <t>GF-121</t>
        </is>
      </c>
      <c r="B22" s="17" t="inlineStr">
        <is>
          <t>คุณเอกพล ยิ่งยืน</t>
        </is>
      </c>
      <c r="C22" s="16" t="inlineStr">
        <is>
          <t>ชาย</t>
        </is>
      </c>
      <c r="D22" s="18" t="n">
        <v>35</v>
      </c>
      <c r="E22" s="16" t="inlineStr">
        <is>
          <t>0853332211</t>
        </is>
      </c>
      <c r="F22" s="17" t="inlineStr">
        <is>
          <t>Personal Training</t>
        </is>
      </c>
      <c r="G22" s="36" t="n"/>
      <c r="H22" s="17" t="inlineStr">
        <is>
          <t>Coach Bank</t>
        </is>
      </c>
      <c r="I22" s="16" t="inlineStr">
        <is>
          <t>2026-02-27</t>
        </is>
      </c>
      <c r="J22" s="35" t="inlineStr">
        <is>
          <t>ค่าบริการเว้นว่าง</t>
        </is>
      </c>
    </row>
    <row r="23">
      <c r="A23" s="16" t="inlineStr">
        <is>
          <t>GF-122</t>
        </is>
      </c>
      <c r="B23" s="17" t="inlineStr">
        <is>
          <t>คุณรสสุคนธ์ มีสุข</t>
        </is>
      </c>
      <c r="C23" s="16" t="inlineStr">
        <is>
          <t>หญิง</t>
        </is>
      </c>
      <c r="D23" s="18" t="n">
        <v>29</v>
      </c>
      <c r="E23" s="16" t="inlineStr">
        <is>
          <t>0876665544</t>
        </is>
      </c>
      <c r="F23" s="17" t="inlineStr">
        <is>
          <t>Monthly Regular</t>
        </is>
      </c>
      <c r="G23" s="19" t="n">
        <v>1200</v>
      </c>
      <c r="H23" s="17" t="inlineStr">
        <is>
          <t>None</t>
        </is>
      </c>
      <c r="I23" s="16" t="inlineStr">
        <is>
          <t>2026-02-28</t>
        </is>
      </c>
      <c r="J23" s="17" t="inlineStr">
        <is>
          <t>ข้อมูลสมบูรณ์</t>
        </is>
      </c>
    </row>
    <row r="24">
      <c r="A24" s="16" t="inlineStr">
        <is>
          <t>GF-123</t>
        </is>
      </c>
      <c r="B24" s="17" t="inlineStr">
        <is>
          <t>คุณโกมินทร์ ปัญญา</t>
        </is>
      </c>
      <c r="C24" s="16" t="inlineStr">
        <is>
          <t>ชาย</t>
        </is>
      </c>
      <c r="D24" s="36" t="inlineStr">
        <is>
          <t>null</t>
        </is>
      </c>
      <c r="E24" s="16" t="inlineStr">
        <is>
          <t>0815554433</t>
        </is>
      </c>
      <c r="F24" s="17" t="inlineStr">
        <is>
          <t>Annual Elite</t>
        </is>
      </c>
      <c r="G24" s="19" t="n">
        <v>1500</v>
      </c>
      <c r="H24" s="17" t="inlineStr">
        <is>
          <t>Coach Max</t>
        </is>
      </c>
      <c r="I24" s="16" t="inlineStr">
        <is>
          <t>2026-03-01</t>
        </is>
      </c>
      <c r="J24" s="35" t="inlineStr">
        <is>
          <t>พิมพ์ 'null' ในช่องอายุ</t>
        </is>
      </c>
    </row>
    <row r="25">
      <c r="A25" s="16" t="inlineStr">
        <is>
          <t>GF-124</t>
        </is>
      </c>
      <c r="B25" s="17" t="inlineStr">
        <is>
          <t>คุณวนิดา สมบูรณ์</t>
        </is>
      </c>
      <c r="C25" s="16" t="inlineStr">
        <is>
          <t>หญิง</t>
        </is>
      </c>
      <c r="D25" s="18" t="n">
        <v>32</v>
      </c>
      <c r="E25" s="16" t="inlineStr">
        <is>
          <t>0891114477</t>
        </is>
      </c>
      <c r="F25" s="17" t="inlineStr">
        <is>
          <t>Monthly Regular</t>
        </is>
      </c>
      <c r="G25" s="19" t="n">
        <v>1200</v>
      </c>
      <c r="H25" s="17" t="inlineStr">
        <is>
          <t>Coach Bow</t>
        </is>
      </c>
      <c r="I25" s="16" t="inlineStr">
        <is>
          <t>2026-03-02</t>
        </is>
      </c>
      <c r="J25" s="17" t="inlineStr">
        <is>
          <t>ข้อมูลสมบูรณ์</t>
        </is>
      </c>
    </row>
    <row r="26">
      <c r="A26" s="16" t="inlineStr">
        <is>
          <t>GF-125</t>
        </is>
      </c>
      <c r="B26" s="17" t="inlineStr">
        <is>
          <t>คุณพิสุทธิ์ แดนไทย</t>
        </is>
      </c>
      <c r="C26" s="16" t="inlineStr">
        <is>
          <t>ชาย</t>
        </is>
      </c>
      <c r="D26" s="18" t="n">
        <v>41</v>
      </c>
      <c r="E26" s="34" t="n"/>
      <c r="F26" s="17" t="inlineStr">
        <is>
          <t>Personal Training</t>
        </is>
      </c>
      <c r="G26" s="19" t="n">
        <v>2500</v>
      </c>
      <c r="H26" s="17" t="inlineStr">
        <is>
          <t>Coach Bank</t>
        </is>
      </c>
      <c r="I26" s="16" t="inlineStr">
        <is>
          <t>2026-03-03</t>
        </is>
      </c>
      <c r="J26" s="35" t="inlineStr">
        <is>
          <t>เบอร์โทรว่าง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5" customWidth="1" min="3" max="3"/>
  </cols>
  <sheetData>
    <row r="1"/>
    <row r="2">
      <c r="B2" s="25" t="inlineStr">
        <is>
          <t>กับดักที่ 3: ข้อมูลขาดหาย (Missing Values / Null Data)</t>
        </is>
      </c>
    </row>
    <row r="3">
      <c r="B3" s="26" t="inlineStr">
        <is>
          <t>ไฟล์ตัวอย่างฐานข้อมูลสมาชิกฟิตเนสที่มีเซลล์ว่างและใส่เครื่องหมายกำกวมจนคำนวณไม่ได้</t>
        </is>
      </c>
    </row>
    <row r="4"/>
    <row r="5">
      <c r="B5" s="27" t="inlineStr">
        <is>
          <t>กับดักข้อมูลสกปรก (Dirty Data Trap):</t>
        </is>
      </c>
      <c r="C5" s="28" t="inlineStr">
        <is>
          <t>Trap 3: Missing Values &amp; Nulls</t>
        </is>
      </c>
    </row>
    <row r="6">
      <c r="B6" s="28" t="inlineStr">
        <is>
          <t>ลักษณะข้อมูลที่ไม่ถูกต้องในตารางนี้:</t>
        </is>
      </c>
      <c r="C6" s="29" t="inlineStr">
        <is>
          <t>ช่องว่างเปล่า, ค่า NULL, เครื่องหมายขีด (-), และการพิมพ์เลข 0 แทนค่าว่าง ส่งผลให้สูตรเฉลี่ยพัง</t>
        </is>
      </c>
    </row>
    <row r="7"/>
    <row r="8">
      <c r="B8" s="30" t="inlineStr">
        <is>
          <t>ทำไมจึงเป็นปัญหาต่อธุรกิจ? (Pain Points &amp; GIGO):</t>
        </is>
      </c>
    </row>
    <row r="9">
      <c r="B9" s="31" t="inlineStr">
        <is>
          <t>❌</t>
        </is>
      </c>
      <c r="C9" s="29" t="inlineStr">
        <is>
          <t>สูตรคำนวณค่าเฉลี่ยเพี้ยน: การใส่เลข 0 ในช่องค่าสมาชิก ทำให้ AVERAGE รายได้เฉลี่ยต่ำกว่าความเป็นจริงมหาศาล</t>
        </is>
      </c>
    </row>
    <row r="10">
      <c r="B10" s="31" t="inlineStr">
        <is>
          <t>❌</t>
        </is>
      </c>
      <c r="C10" s="29" t="inlineStr">
        <is>
          <t>การใส่ขีด '-' หรือคำว่า 'NULL' ทำให้คอลัมน์ตัวเลขกลายเป็นข้อความ (Text) คำนวณทางสถิติต่อไม่ได้</t>
        </is>
      </c>
    </row>
    <row r="11">
      <c r="B11" s="31" t="inlineStr">
        <is>
          <t>❌</t>
        </is>
      </c>
      <c r="C11" s="29" t="inlineStr">
        <is>
          <t>เบอร์โทรศัพท์เว้นว่าง: ระบบ CRM ไม่สามารถส่ง SMS แจ้งเตือนวันหมดอายุสมาชิก ทำให้สูญเสียลูกค้ารายเดือน</t>
        </is>
      </c>
    </row>
    <row r="12"/>
    <row r="13">
      <c r="B13" s="32" t="inlineStr">
        <is>
          <t>วิธีแก้ไขตามมาตรฐาน Session 5 (Best Practices):</t>
        </is>
      </c>
    </row>
    <row r="14">
      <c r="B14" s="31" t="inlineStr">
        <is>
          <t>✔️</t>
        </is>
      </c>
      <c r="C14" s="29" t="inlineStr">
        <is>
          <t>ใช้ Format &gt; Conditional formatting ตั้งกฎ 'Is empty' เพื่อส่องเซลล์ว่างให้เรืองแสงอัตโนมัติ</t>
        </is>
      </c>
    </row>
    <row r="15">
      <c r="B15" s="31" t="inlineStr">
        <is>
          <t>✔️</t>
        </is>
      </c>
      <c r="C15" s="29" t="inlineStr">
        <is>
          <t>ใช้สูตร =ISBLANK() และ =COUNTBLANK() สรุปจำนวนเซลล์ว่างในแต่ละคอลัมน์</t>
        </is>
      </c>
    </row>
    <row r="16">
      <c r="B16" s="31" t="inlineStr">
        <is>
          <t>✔️</t>
        </is>
      </c>
      <c r="C16" s="29" t="inlineStr">
        <is>
          <t>ใช้กลยุทธ์ Deletion: ลบแถวทิ้งเฉพาะกรณีที่ขาดข้อมูลสำคัญวิกฤตจนนำไปใช้ไม่ได้</t>
        </is>
      </c>
    </row>
    <row r="17">
      <c r="B17" s="31" t="inlineStr">
        <is>
          <t>✔️</t>
        </is>
      </c>
      <c r="C17" s="29" t="inlineStr">
        <is>
          <t>ใช้กลยุทธ์ Imputation: เติมราคามาตรฐานตามประเภท Package หรือใส่คำว่า 'ไม่ระบุ' สำหรับข้อความ</t>
        </is>
      </c>
    </row>
    <row r="18">
      <c r="B18" s="31" t="inlineStr">
        <is>
          <t>✔️</t>
        </is>
      </c>
      <c r="C18" s="29" t="inlineStr">
        <is>
          <t>ห้ามคีย์เลข 0 ลงในช่องว่างมั่วซั่วถ้าไม่ใช่ตัวเลข 0 จริงๆ!</t>
        </is>
      </c>
    </row>
    <row r="19"/>
    <row r="20">
      <c r="B20" s="33" t="inlineStr">
        <is>
          <t>เครื่องมือ &amp; สูตร Google Sheets ที่ใช้:</t>
        </is>
      </c>
      <c r="C20" s="28" t="inlineStr">
        <is>
          <t>Conditional formatting (Is empty), =ISBLANK(), =COUNTBLANK(), Imputation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3" customWidth="1" min="4" max="4"/>
    <col width="15" customWidth="1" min="5" max="5"/>
    <col width="12" customWidth="1" min="6" max="6"/>
    <col width="15" customWidth="1" min="7" max="7"/>
    <col width="15" customWidth="1" min="8" max="8"/>
    <col width="33" customWidth="1" min="9" max="9"/>
    <col width="59" customWidth="1" min="10" max="10"/>
  </cols>
  <sheetData>
    <row r="1">
      <c r="A1" s="15" t="inlineStr">
        <is>
          <t>Trans_ID</t>
        </is>
      </c>
      <c r="B1" s="15" t="inlineStr">
        <is>
          <t>Date_Chaos</t>
        </is>
      </c>
      <c r="C1" s="15" t="inlineStr">
        <is>
          <t>Customer</t>
        </is>
      </c>
      <c r="D1" s="15" t="inlineStr">
        <is>
          <t>Item_Code</t>
        </is>
      </c>
      <c r="E1" s="15" t="inlineStr">
        <is>
          <t>Price_Chaos</t>
        </is>
      </c>
      <c r="F1" s="15" t="inlineStr">
        <is>
          <t>Qty</t>
        </is>
      </c>
      <c r="G1" s="15" t="inlineStr">
        <is>
          <t>Total_Chaos</t>
        </is>
      </c>
      <c r="H1" s="15" t="inlineStr">
        <is>
          <t>Phone_Chaos</t>
        </is>
      </c>
      <c r="I1" s="15" t="inlineStr">
        <is>
          <t>Alignment_Status</t>
        </is>
      </c>
      <c r="J1" s="15" t="inlineStr">
        <is>
          <t>Note_Format_Error</t>
        </is>
      </c>
    </row>
    <row r="2">
      <c r="A2" s="16" t="inlineStr">
        <is>
          <t>TR-501</t>
        </is>
      </c>
      <c r="B2" s="16" t="inlineStr">
        <is>
          <t>2026-03-01</t>
        </is>
      </c>
      <c r="C2" s="17" t="inlineStr">
        <is>
          <t>คุณมนัส</t>
        </is>
      </c>
      <c r="D2" s="16" t="inlineStr">
        <is>
          <t>TS-01</t>
        </is>
      </c>
      <c r="E2" s="19" t="n">
        <v>350</v>
      </c>
      <c r="F2" s="19" t="n">
        <v>1</v>
      </c>
      <c r="G2" s="19" t="n">
        <v>350</v>
      </c>
      <c r="H2" s="16" t="inlineStr">
        <is>
          <t>0812345678</t>
        </is>
      </c>
      <c r="I2" s="17" t="inlineStr">
        <is>
          <t>Align Right (ตัวเลขจริง)</t>
        </is>
      </c>
      <c r="J2" s="17" t="inlineStr">
        <is>
          <t>ปกติ (ชิดขวา)</t>
        </is>
      </c>
    </row>
    <row r="3">
      <c r="A3" s="16" t="inlineStr">
        <is>
          <t>TR-502</t>
        </is>
      </c>
      <c r="B3" s="20" t="inlineStr">
        <is>
          <t>02/03/2026</t>
        </is>
      </c>
      <c r="C3" s="17" t="inlineStr">
        <is>
          <t>คุณวาสนา</t>
        </is>
      </c>
      <c r="D3" s="16" t="inlineStr">
        <is>
          <t>JN-02</t>
        </is>
      </c>
      <c r="E3" s="38" t="inlineStr">
        <is>
          <t>฿ 890</t>
        </is>
      </c>
      <c r="F3" s="19" t="n">
        <v>1</v>
      </c>
      <c r="G3" s="38" t="inlineStr">
        <is>
          <t>฿ 890</t>
        </is>
      </c>
      <c r="H3" s="20" t="inlineStr">
        <is>
          <t>823456789</t>
        </is>
      </c>
      <c r="I3" s="21" t="inlineStr">
        <is>
          <t>Align Left (กลายเป็น Text)</t>
        </is>
      </c>
      <c r="J3" s="17" t="inlineStr">
        <is>
          <t>มีสัญลักษณ์ '฿' ปนทำให้ SUM ข้าม + เบอร์โทรศูนย์หน้าหาย</t>
        </is>
      </c>
    </row>
    <row r="4">
      <c r="A4" s="16" t="inlineStr">
        <is>
          <t>TR-503</t>
        </is>
      </c>
      <c r="B4" s="20" t="inlineStr">
        <is>
          <t>03/05/2026</t>
        </is>
      </c>
      <c r="C4" s="17" t="inlineStr">
        <is>
          <t>คุณกิตติ</t>
        </is>
      </c>
      <c r="D4" s="16" t="inlineStr">
        <is>
          <t>TS-01</t>
        </is>
      </c>
      <c r="E4" s="38" t="inlineStr">
        <is>
          <t>350 บาท</t>
        </is>
      </c>
      <c r="F4" s="19" t="n">
        <v>2</v>
      </c>
      <c r="G4" s="38" t="inlineStr">
        <is>
          <t>700 บาท</t>
        </is>
      </c>
      <c r="H4" s="20" t="inlineStr">
        <is>
          <t>0834567890</t>
        </is>
      </c>
      <c r="I4" s="21" t="inlineStr">
        <is>
          <t>Align Left (มีคำว่า บาท)</t>
        </is>
      </c>
      <c r="J4" s="17" t="inlineStr">
        <is>
          <t>ใส่คำว่า 'บาท' ในเซลล์ สูตรคูณ/บวกพัง</t>
        </is>
      </c>
    </row>
    <row r="5">
      <c r="A5" s="16" t="inlineStr">
        <is>
          <t>TR-504</t>
        </is>
      </c>
      <c r="B5" s="20" t="inlineStr">
        <is>
          <t>2569/03/02</t>
        </is>
      </c>
      <c r="C5" s="17" t="inlineStr">
        <is>
          <t>คุณนภาพร</t>
        </is>
      </c>
      <c r="D5" s="16" t="inlineStr">
        <is>
          <t>DR-03</t>
        </is>
      </c>
      <c r="E5" s="23" t="n">
        <v>490</v>
      </c>
      <c r="F5" s="19" t="n">
        <v>1</v>
      </c>
      <c r="G5" s="23" t="n">
        <v>490</v>
      </c>
      <c r="H5" s="20" t="inlineStr">
        <is>
          <t>0845678901</t>
        </is>
      </c>
      <c r="I5" s="21" t="inlineStr">
        <is>
          <t>Align Left (ปี พ.ศ.)</t>
        </is>
      </c>
      <c r="J5" s="17" t="inlineStr">
        <is>
          <t>ปี พ.ศ. ผสม ค.ศ. ระบบคิดว่าเป็นข้อความ</t>
        </is>
      </c>
    </row>
    <row r="6">
      <c r="A6" s="16" t="inlineStr">
        <is>
          <t>TR-505</t>
        </is>
      </c>
      <c r="B6" s="20" t="inlineStr">
        <is>
          <t>20260303</t>
        </is>
      </c>
      <c r="C6" s="17" t="inlineStr">
        <is>
          <t>คุณสมเกียรติ</t>
        </is>
      </c>
      <c r="D6" s="16" t="inlineStr">
        <is>
          <t>CR-04</t>
        </is>
      </c>
      <c r="E6" s="38" t="inlineStr">
        <is>
          <t>290.-</t>
        </is>
      </c>
      <c r="F6" s="19" t="n">
        <v>1</v>
      </c>
      <c r="G6" s="38" t="inlineStr">
        <is>
          <t>290.-</t>
        </is>
      </c>
      <c r="H6" s="20" t="inlineStr">
        <is>
          <t>856789012</t>
        </is>
      </c>
      <c r="I6" s="21" t="inlineStr">
        <is>
          <t>Align Left (Text วันที่/ราคา)</t>
        </is>
      </c>
      <c r="J6" s="17" t="inlineStr">
        <is>
          <t>วันที่เขียนติดกัน 8 หลัก + ราคามี .-"</t>
        </is>
      </c>
    </row>
    <row r="7">
      <c r="A7" s="16" t="inlineStr">
        <is>
          <t>TR-506</t>
        </is>
      </c>
      <c r="B7" s="16" t="inlineStr">
        <is>
          <t>2026-03-03</t>
        </is>
      </c>
      <c r="C7" s="17" t="inlineStr">
        <is>
          <t>คุณปรียา</t>
        </is>
      </c>
      <c r="D7" s="16" t="inlineStr">
        <is>
          <t>TS-01</t>
        </is>
      </c>
      <c r="E7" s="19" t="n">
        <v>350</v>
      </c>
      <c r="F7" s="19" t="n">
        <v>2</v>
      </c>
      <c r="G7" s="19" t="n">
        <v>700</v>
      </c>
      <c r="H7" s="16" t="inlineStr">
        <is>
          <t>0867890123</t>
        </is>
      </c>
      <c r="I7" s="17" t="inlineStr">
        <is>
          <t>Align Right</t>
        </is>
      </c>
      <c r="J7" s="17" t="inlineStr">
        <is>
          <t>ปกติ</t>
        </is>
      </c>
    </row>
    <row r="8">
      <c r="A8" s="16" t="inlineStr">
        <is>
          <t>TR-507</t>
        </is>
      </c>
      <c r="B8" s="20" t="inlineStr">
        <is>
          <t>04-Mar-2026</t>
        </is>
      </c>
      <c r="C8" s="17" t="inlineStr">
        <is>
          <t>คุณธีรวัฒน์</t>
        </is>
      </c>
      <c r="D8" s="16" t="inlineStr">
        <is>
          <t>HD-05</t>
        </is>
      </c>
      <c r="E8" s="38" t="inlineStr">
        <is>
          <t xml:space="preserve"> 650 </t>
        </is>
      </c>
      <c r="F8" s="19" t="n">
        <v>1</v>
      </c>
      <c r="G8" s="38" t="inlineStr">
        <is>
          <t xml:space="preserve"> 650 </t>
        </is>
      </c>
      <c r="H8" s="20" t="inlineStr">
        <is>
          <t>0878901234</t>
        </is>
      </c>
      <c r="I8" s="21" t="inlineStr">
        <is>
          <t>Align Left (Space ในตัวเลข)</t>
        </is>
      </c>
      <c r="J8" s="17" t="inlineStr">
        <is>
          <t>ราคาเป็น Text เพราะเคาะวรรคแฝง</t>
        </is>
      </c>
    </row>
    <row r="9">
      <c r="A9" s="16" t="inlineStr">
        <is>
          <t>TR-508</t>
        </is>
      </c>
      <c r="B9" s="16" t="inlineStr">
        <is>
          <t>2026/03/04</t>
        </is>
      </c>
      <c r="C9" s="17" t="inlineStr">
        <is>
          <t>คุณอารีย์</t>
        </is>
      </c>
      <c r="D9" s="16" t="inlineStr">
        <is>
          <t>JN-02</t>
        </is>
      </c>
      <c r="E9" s="19" t="n">
        <v>890</v>
      </c>
      <c r="F9" s="19" t="n">
        <v>1</v>
      </c>
      <c r="G9" s="19" t="n">
        <v>890</v>
      </c>
      <c r="H9" s="16" t="inlineStr">
        <is>
          <t>889012345</t>
        </is>
      </c>
      <c r="I9" s="17" t="inlineStr">
        <is>
          <t>Align Right (เบอร์โทรพัง)</t>
        </is>
      </c>
      <c r="J9" s="17" t="inlineStr">
        <is>
          <t>เบอร์โทรเป็นตัวเลขทำให้ 0 หน้าหาย</t>
        </is>
      </c>
    </row>
    <row r="10">
      <c r="A10" s="16" t="inlineStr">
        <is>
          <t>TR-509</t>
        </is>
      </c>
      <c r="B10" s="20" t="inlineStr">
        <is>
          <t>05/03/2026</t>
        </is>
      </c>
      <c r="C10" s="17" t="inlineStr">
        <is>
          <t>คุณบุญส่ง</t>
        </is>
      </c>
      <c r="D10" s="16" t="inlineStr">
        <is>
          <t>BL-06</t>
        </is>
      </c>
      <c r="E10" s="38" t="inlineStr">
        <is>
          <t>1,250</t>
        </is>
      </c>
      <c r="F10" s="19" t="n">
        <v>1</v>
      </c>
      <c r="G10" s="38" t="inlineStr">
        <is>
          <t>1,250</t>
        </is>
      </c>
      <c r="H10" s="20" t="inlineStr">
        <is>
          <t>0890123456</t>
        </is>
      </c>
      <c r="I10" s="21" t="inlineStr">
        <is>
          <t>Align Left (Text มีลูกน้ำ)</t>
        </is>
      </c>
      <c r="J10" s="17" t="inlineStr">
        <is>
          <t>พิมพ์ลูกน้ำมือเองกลายเป็น Text</t>
        </is>
      </c>
    </row>
    <row r="11">
      <c r="A11" s="16" t="inlineStr">
        <is>
          <t>TR-510</t>
        </is>
      </c>
      <c r="B11" s="16" t="inlineStr">
        <is>
          <t>2026-03-05</t>
        </is>
      </c>
      <c r="C11" s="17" t="inlineStr">
        <is>
          <t>คุณวิภา</t>
        </is>
      </c>
      <c r="D11" s="16" t="inlineStr">
        <is>
          <t>TS-01</t>
        </is>
      </c>
      <c r="E11" s="19" t="n">
        <v>350</v>
      </c>
      <c r="F11" s="19" t="n">
        <v>1</v>
      </c>
      <c r="G11" s="19" t="n">
        <v>350</v>
      </c>
      <c r="H11" s="16" t="inlineStr">
        <is>
          <t>0811122233</t>
        </is>
      </c>
      <c r="I11" s="17" t="inlineStr">
        <is>
          <t>Align Right</t>
        </is>
      </c>
      <c r="J11" s="17" t="inlineStr">
        <is>
          <t>ปกติ</t>
        </is>
      </c>
    </row>
    <row r="12">
      <c r="A12" s="16" t="inlineStr">
        <is>
          <t>TR-511</t>
        </is>
      </c>
      <c r="B12" s="20" t="inlineStr">
        <is>
          <t>2026.03.05</t>
        </is>
      </c>
      <c r="C12" s="17" t="inlineStr">
        <is>
          <t>คุณธนิต</t>
        </is>
      </c>
      <c r="D12" s="16" t="inlineStr">
        <is>
          <t>CR-04</t>
        </is>
      </c>
      <c r="E12" s="38" t="inlineStr">
        <is>
          <t>290</t>
        </is>
      </c>
      <c r="F12" s="19" t="n">
        <v>2</v>
      </c>
      <c r="G12" s="38" t="inlineStr">
        <is>
          <t>580</t>
        </is>
      </c>
      <c r="H12" s="20" t="inlineStr">
        <is>
          <t>822233344</t>
        </is>
      </c>
      <c r="I12" s="21" t="inlineStr">
        <is>
          <t>Align Left (จุดในวันที่/Text)</t>
        </is>
      </c>
      <c r="J12" s="17" t="inlineStr">
        <is>
          <t>ใช้วันที่แบบมีจุด + ตัวเลขถูกจัดเป็น Text</t>
        </is>
      </c>
    </row>
    <row r="13">
      <c r="A13" s="16" t="inlineStr">
        <is>
          <t>TR-512</t>
        </is>
      </c>
      <c r="B13" s="16" t="inlineStr">
        <is>
          <t>06/03/2026</t>
        </is>
      </c>
      <c r="C13" s="17" t="inlineStr">
        <is>
          <t>คุณสุดา</t>
        </is>
      </c>
      <c r="D13" s="16" t="inlineStr">
        <is>
          <t>DR-03</t>
        </is>
      </c>
      <c r="E13" s="19" t="n">
        <v>490</v>
      </c>
      <c r="F13" s="19" t="n">
        <v>1</v>
      </c>
      <c r="G13" s="19" t="n">
        <v>490</v>
      </c>
      <c r="H13" s="16" t="inlineStr">
        <is>
          <t>0833344455</t>
        </is>
      </c>
      <c r="I13" s="17" t="inlineStr">
        <is>
          <t>Align Right</t>
        </is>
      </c>
      <c r="J13" s="17" t="inlineStr">
        <is>
          <t>ปกติ</t>
        </is>
      </c>
    </row>
    <row r="14">
      <c r="A14" s="16" t="inlineStr">
        <is>
          <t>TR-513</t>
        </is>
      </c>
      <c r="B14" s="20" t="inlineStr">
        <is>
          <t>2026-03-06</t>
        </is>
      </c>
      <c r="C14" s="17" t="inlineStr">
        <is>
          <t>คุณเจษฎา</t>
        </is>
      </c>
      <c r="D14" s="16" t="inlineStr">
        <is>
          <t>TS-01</t>
        </is>
      </c>
      <c r="E14" s="38" t="inlineStr">
        <is>
          <t>฿ 350</t>
        </is>
      </c>
      <c r="F14" s="19" t="n">
        <v>3</v>
      </c>
      <c r="G14" s="38" t="inlineStr">
        <is>
          <t>฿ 1,050</t>
        </is>
      </c>
      <c r="H14" s="20" t="inlineStr">
        <is>
          <t>0844455566</t>
        </is>
      </c>
      <c r="I14" s="21" t="inlineStr">
        <is>
          <t>Align Left</t>
        </is>
      </c>
      <c r="J14" s="17" t="inlineStr">
        <is>
          <t>มีสัญลักษณ์ ฿</t>
        </is>
      </c>
    </row>
    <row r="15">
      <c r="A15" s="16" t="inlineStr">
        <is>
          <t>TR-514</t>
        </is>
      </c>
      <c r="B15" s="20" t="inlineStr">
        <is>
          <t>2569-03-06</t>
        </is>
      </c>
      <c r="C15" s="17" t="inlineStr">
        <is>
          <t>คุณดวงใจ</t>
        </is>
      </c>
      <c r="D15" s="16" t="inlineStr">
        <is>
          <t>JN-02</t>
        </is>
      </c>
      <c r="E15" s="23" t="n">
        <v>890</v>
      </c>
      <c r="F15" s="19" t="n">
        <v>1</v>
      </c>
      <c r="G15" s="23" t="n">
        <v>890</v>
      </c>
      <c r="H15" s="20" t="inlineStr">
        <is>
          <t>855566677</t>
        </is>
      </c>
      <c r="I15" s="21" t="inlineStr">
        <is>
          <t>Align Left (พ.ศ.)</t>
        </is>
      </c>
      <c r="J15" s="17" t="inlineStr">
        <is>
          <t>ปี พ.ศ. 2569 + เบอร์โทรขาด 0</t>
        </is>
      </c>
    </row>
    <row r="16">
      <c r="A16" s="16" t="inlineStr">
        <is>
          <t>TR-515</t>
        </is>
      </c>
      <c r="B16" s="16" t="inlineStr">
        <is>
          <t>2026-03-07</t>
        </is>
      </c>
      <c r="C16" s="17" t="inlineStr">
        <is>
          <t>คุณอนุสรณ์</t>
        </is>
      </c>
      <c r="D16" s="16" t="inlineStr">
        <is>
          <t>HD-05</t>
        </is>
      </c>
      <c r="E16" s="19" t="n">
        <v>650</v>
      </c>
      <c r="F16" s="19" t="n">
        <v>1</v>
      </c>
      <c r="G16" s="19" t="n">
        <v>650</v>
      </c>
      <c r="H16" s="16" t="inlineStr">
        <is>
          <t>0866677788</t>
        </is>
      </c>
      <c r="I16" s="17" t="inlineStr">
        <is>
          <t>Align Right</t>
        </is>
      </c>
      <c r="J16" s="17" t="inlineStr">
        <is>
          <t>ปกติ</t>
        </is>
      </c>
    </row>
    <row r="17">
      <c r="A17" s="16" t="inlineStr">
        <is>
          <t>TR-516</t>
        </is>
      </c>
      <c r="B17" s="20" t="inlineStr">
        <is>
          <t>07/03/2026</t>
        </is>
      </c>
      <c r="C17" s="17" t="inlineStr">
        <is>
          <t>คุณพัชรี</t>
        </is>
      </c>
      <c r="D17" s="16" t="inlineStr">
        <is>
          <t>BL-06</t>
        </is>
      </c>
      <c r="E17" s="38" t="inlineStr">
        <is>
          <t>1,250 บาท</t>
        </is>
      </c>
      <c r="F17" s="19" t="n">
        <v>1</v>
      </c>
      <c r="G17" s="38" t="inlineStr">
        <is>
          <t>1,250 บาท</t>
        </is>
      </c>
      <c r="H17" s="20" t="inlineStr">
        <is>
          <t>0877788899</t>
        </is>
      </c>
      <c r="I17" s="21" t="inlineStr">
        <is>
          <t>Align Left</t>
        </is>
      </c>
      <c r="J17" s="17" t="inlineStr">
        <is>
          <t>มีลูกน้ำและคำว่าบาทปน</t>
        </is>
      </c>
    </row>
    <row r="18">
      <c r="A18" s="16" t="inlineStr">
        <is>
          <t>TR-517</t>
        </is>
      </c>
      <c r="B18" s="20" t="inlineStr">
        <is>
          <t>20260307</t>
        </is>
      </c>
      <c r="C18" s="17" t="inlineStr">
        <is>
          <t>คุณกมล</t>
        </is>
      </c>
      <c r="D18" s="16" t="inlineStr">
        <is>
          <t>TS-01</t>
        </is>
      </c>
      <c r="E18" s="23" t="n">
        <v>350</v>
      </c>
      <c r="F18" s="19" t="n">
        <v>1</v>
      </c>
      <c r="G18" s="23" t="n">
        <v>350</v>
      </c>
      <c r="H18" s="20" t="inlineStr">
        <is>
          <t>888899900</t>
        </is>
      </c>
      <c r="I18" s="21" t="inlineStr">
        <is>
          <t>Align Left</t>
        </is>
      </c>
      <c r="J18" s="17" t="inlineStr">
        <is>
          <t>วันที่ 8 หลัก + เบอร์ไม่มี 0</t>
        </is>
      </c>
    </row>
    <row r="19">
      <c r="A19" s="16" t="inlineStr">
        <is>
          <t>TR-518</t>
        </is>
      </c>
      <c r="B19" s="16" t="inlineStr">
        <is>
          <t>2026-03-08</t>
        </is>
      </c>
      <c r="C19" s="17" t="inlineStr">
        <is>
          <t>คุณรุ่งนภา</t>
        </is>
      </c>
      <c r="D19" s="16" t="inlineStr">
        <is>
          <t>CR-04</t>
        </is>
      </c>
      <c r="E19" s="19" t="n">
        <v>290</v>
      </c>
      <c r="F19" s="19" t="n">
        <v>2</v>
      </c>
      <c r="G19" s="19" t="n">
        <v>580</v>
      </c>
      <c r="H19" s="16" t="inlineStr">
        <is>
          <t>0899900011</t>
        </is>
      </c>
      <c r="I19" s="17" t="inlineStr">
        <is>
          <t>Align Right</t>
        </is>
      </c>
      <c r="J19" s="17" t="inlineStr">
        <is>
          <t>ปกติ</t>
        </is>
      </c>
    </row>
    <row r="20">
      <c r="A20" s="16" t="inlineStr">
        <is>
          <t>TR-519</t>
        </is>
      </c>
      <c r="B20" s="20" t="inlineStr">
        <is>
          <t>08/03/2026</t>
        </is>
      </c>
      <c r="C20" s="17" t="inlineStr">
        <is>
          <t>คุณวีระ</t>
        </is>
      </c>
      <c r="D20" s="16" t="inlineStr">
        <is>
          <t>DR-03</t>
        </is>
      </c>
      <c r="E20" s="38" t="inlineStr">
        <is>
          <t>490.-</t>
        </is>
      </c>
      <c r="F20" s="19" t="n">
        <v>1</v>
      </c>
      <c r="G20" s="38" t="inlineStr">
        <is>
          <t>490.-</t>
        </is>
      </c>
      <c r="H20" s="20" t="inlineStr">
        <is>
          <t>0812344321</t>
        </is>
      </c>
      <c r="I20" s="21" t="inlineStr">
        <is>
          <t>Align Left</t>
        </is>
      </c>
      <c r="J20" s="17" t="inlineStr">
        <is>
          <t>มีสัญลักษณ์ .-"</t>
        </is>
      </c>
    </row>
    <row r="21">
      <c r="A21" s="16" t="inlineStr">
        <is>
          <t>TR-520</t>
        </is>
      </c>
      <c r="B21" s="16" t="inlineStr">
        <is>
          <t>2026-03-08</t>
        </is>
      </c>
      <c r="C21" s="17" t="inlineStr">
        <is>
          <t>คุณสุนีย์</t>
        </is>
      </c>
      <c r="D21" s="16" t="inlineStr">
        <is>
          <t>JN-02</t>
        </is>
      </c>
      <c r="E21" s="19" t="n">
        <v>890</v>
      </c>
      <c r="F21" s="19" t="n">
        <v>1</v>
      </c>
      <c r="G21" s="19" t="n">
        <v>890</v>
      </c>
      <c r="H21" s="16" t="inlineStr">
        <is>
          <t>823455432</t>
        </is>
      </c>
      <c r="I21" s="17" t="inlineStr">
        <is>
          <t>Align Right</t>
        </is>
      </c>
      <c r="J21" s="17" t="inlineStr">
        <is>
          <t>เบอร์โทร 0 หน้าหาย</t>
        </is>
      </c>
    </row>
    <row r="22">
      <c r="A22" s="16" t="inlineStr">
        <is>
          <t>TR-521</t>
        </is>
      </c>
      <c r="B22" s="16" t="inlineStr">
        <is>
          <t>2026-03-09</t>
        </is>
      </c>
      <c r="C22" s="17" t="inlineStr">
        <is>
          <t>คุณเกรียง</t>
        </is>
      </c>
      <c r="D22" s="16" t="inlineStr">
        <is>
          <t>TS-01</t>
        </is>
      </c>
      <c r="E22" s="19" t="n">
        <v>350</v>
      </c>
      <c r="F22" s="19" t="n">
        <v>1</v>
      </c>
      <c r="G22" s="19" t="n">
        <v>350</v>
      </c>
      <c r="H22" s="16" t="inlineStr">
        <is>
          <t>0834566543</t>
        </is>
      </c>
      <c r="I22" s="17" t="inlineStr">
        <is>
          <t>Align Right</t>
        </is>
      </c>
      <c r="J22" s="17" t="inlineStr">
        <is>
          <t>ปกติ</t>
        </is>
      </c>
    </row>
    <row r="23">
      <c r="A23" s="16" t="inlineStr">
        <is>
          <t>TR-522</t>
        </is>
      </c>
      <c r="B23" s="20" t="inlineStr">
        <is>
          <t>09/03/2026</t>
        </is>
      </c>
      <c r="C23" s="17" t="inlineStr">
        <is>
          <t>คุณกรรณิการ์</t>
        </is>
      </c>
      <c r="D23" s="16" t="inlineStr">
        <is>
          <t>HD-05</t>
        </is>
      </c>
      <c r="E23" s="38" t="inlineStr">
        <is>
          <t>฿ 650</t>
        </is>
      </c>
      <c r="F23" s="19" t="n">
        <v>1</v>
      </c>
      <c r="G23" s="38" t="inlineStr">
        <is>
          <t>฿ 650</t>
        </is>
      </c>
      <c r="H23" s="20" t="inlineStr">
        <is>
          <t>0845677654</t>
        </is>
      </c>
      <c r="I23" s="21" t="inlineStr">
        <is>
          <t>Align Left</t>
        </is>
      </c>
      <c r="J23" s="17" t="inlineStr">
        <is>
          <t>มี ฿ ชิดซ้าย</t>
        </is>
      </c>
    </row>
    <row r="24">
      <c r="A24" s="16" t="inlineStr">
        <is>
          <t>TR-523</t>
        </is>
      </c>
      <c r="B24" s="16" t="inlineStr">
        <is>
          <t>2026.03.09</t>
        </is>
      </c>
      <c r="C24" s="17" t="inlineStr">
        <is>
          <t>คุณประดิษฐ์</t>
        </is>
      </c>
      <c r="D24" s="16" t="inlineStr">
        <is>
          <t>BL-06</t>
        </is>
      </c>
      <c r="E24" s="19" t="n">
        <v>1250</v>
      </c>
      <c r="F24" s="19" t="n">
        <v>1</v>
      </c>
      <c r="G24" s="19" t="n">
        <v>1250</v>
      </c>
      <c r="H24" s="16" t="inlineStr">
        <is>
          <t>856788765</t>
        </is>
      </c>
      <c r="I24" s="17" t="inlineStr">
        <is>
          <t>Align Right/Left ปน</t>
        </is>
      </c>
      <c r="J24" s="17" t="inlineStr">
        <is>
          <t>วันที่เพี้ยน + เบอร์โทรขาด 0</t>
        </is>
      </c>
    </row>
    <row r="25">
      <c r="A25" s="16" t="inlineStr">
        <is>
          <t>TR-524</t>
        </is>
      </c>
      <c r="B25" s="16" t="inlineStr">
        <is>
          <t>2026-03-10</t>
        </is>
      </c>
      <c r="C25" s="17" t="inlineStr">
        <is>
          <t>คุณนฤมล</t>
        </is>
      </c>
      <c r="D25" s="16" t="inlineStr">
        <is>
          <t>CR-04</t>
        </is>
      </c>
      <c r="E25" s="19" t="n">
        <v>290</v>
      </c>
      <c r="F25" s="19" t="n">
        <v>1</v>
      </c>
      <c r="G25" s="19" t="n">
        <v>290</v>
      </c>
      <c r="H25" s="16" t="inlineStr">
        <is>
          <t>0867899876</t>
        </is>
      </c>
      <c r="I25" s="17" t="inlineStr">
        <is>
          <t>Align Right</t>
        </is>
      </c>
      <c r="J25" s="17" t="inlineStr">
        <is>
          <t>ปกติ</t>
        </is>
      </c>
    </row>
    <row r="26">
      <c r="A26" s="16" t="inlineStr">
        <is>
          <t>TR-525</t>
        </is>
      </c>
      <c r="B26" s="20" t="inlineStr">
        <is>
          <t>10/03/2026</t>
        </is>
      </c>
      <c r="C26" s="17" t="inlineStr">
        <is>
          <t>คุณสุริยา</t>
        </is>
      </c>
      <c r="D26" s="16" t="inlineStr">
        <is>
          <t>JN-02</t>
        </is>
      </c>
      <c r="E26" s="38" t="inlineStr">
        <is>
          <t>890 บาท</t>
        </is>
      </c>
      <c r="F26" s="19" t="n">
        <v>1</v>
      </c>
      <c r="G26" s="38" t="inlineStr">
        <is>
          <t>890 บาท</t>
        </is>
      </c>
      <c r="H26" s="20" t="inlineStr">
        <is>
          <t>0878900987</t>
        </is>
      </c>
      <c r="I26" s="21" t="inlineStr">
        <is>
          <t>Align Left</t>
        </is>
      </c>
      <c r="J26" s="17" t="inlineStr">
        <is>
          <t>มีคำว่าบาทกลายเป็น 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5" customWidth="1" min="3" max="3"/>
  </cols>
  <sheetData>
    <row r="1"/>
    <row r="2">
      <c r="B2" s="25" t="inlineStr">
        <is>
          <t>กับดักที่ 4: ความโกลาหลของวันที่และตัวเลข (Format Chaos)</t>
        </is>
      </c>
    </row>
    <row r="3">
      <c r="B3" s="26" t="inlineStr">
        <is>
          <t>ไฟล์ตัวอย่างยอดขายที่ตัวเลขและวันที่กลายเป็นข้อความ (Text ชิดซ้าย) ทำให้สูตร SUM คำนวณไม่ติด</t>
        </is>
      </c>
    </row>
    <row r="4"/>
    <row r="5">
      <c r="B5" s="27" t="inlineStr">
        <is>
          <t>กับดักข้อมูลสกปรก (Dirty Data Trap):</t>
        </is>
      </c>
      <c r="C5" s="28" t="inlineStr">
        <is>
          <t>Trap 4: Format Chaos</t>
        </is>
      </c>
    </row>
    <row r="6">
      <c r="B6" s="28" t="inlineStr">
        <is>
          <t>ลักษณะข้อมูลที่ไม่ถูกต้องในตารางนี้:</t>
        </is>
      </c>
      <c r="C6" s="29" t="inlineStr">
        <is>
          <t>ตัวเลขมีสัญลักษณ์ ฿, ลูกน้ำ, หรือคำว่าบาทปะปน และวันที่บันทึกหลายฟอร์แมตปนกัน</t>
        </is>
      </c>
    </row>
    <row r="7"/>
    <row r="8">
      <c r="B8" s="30" t="inlineStr">
        <is>
          <t>ทำไมจึงเป็นปัญหาต่อธุรกิจ? (Pain Points &amp; GIGO):</t>
        </is>
      </c>
    </row>
    <row r="9">
      <c r="B9" s="31" t="inlineStr">
        <is>
          <t>❌</t>
        </is>
      </c>
      <c r="C9" s="29" t="inlineStr">
        <is>
          <t>กฎ Alignment ใน Sheets: ตัวเลขและวันที่จริงจะชิดขวา (Right) เสมอ แต่ตารางนี้ชิดซ้าย (Left) เพราะมีอักขระพิเศษ</t>
        </is>
      </c>
    </row>
    <row r="10">
      <c r="B10" s="31" t="inlineStr">
        <is>
          <t>❌</t>
        </is>
      </c>
      <c r="C10" s="29" t="inlineStr">
        <is>
          <t>สูตร SUM ได้ผลลัพธ์เป็น 0: เมื่อเซลล์ราคาเป็น Text โปรแกรมจะข้ามการคำนวณ ทำให้ยอดขายหายไปจากรายงาน</t>
        </is>
      </c>
    </row>
    <row r="11">
      <c r="B11" s="31" t="inlineStr">
        <is>
          <t>❌</t>
        </is>
      </c>
      <c r="C11" s="29" t="inlineStr">
        <is>
          <t>เบอร์โทรศัพท์สูญเสียเลข 0 นำหน้า: หากเก็บเป็น Number เลข 081 จะกลายเป็น 81 ส่ง SMS ติดต่อลูกค้าไม่ได้</t>
        </is>
      </c>
    </row>
    <row r="12">
      <c r="B12" s="31" t="inlineStr">
        <is>
          <t>❌</t>
        </is>
      </c>
      <c r="C12" s="29" t="inlineStr">
        <is>
          <t>วันที่สลับ ว/ด/ป กับ ด/ว/ป: ไม่สามารถเรียงลำดับตามเวลา Timeline ได้ และสรุปยอดขายรายเดือนผิดพลาด</t>
        </is>
      </c>
    </row>
    <row r="13"/>
    <row r="14">
      <c r="B14" s="32" t="inlineStr">
        <is>
          <t>วิธีแก้ไขตามมาตรฐาน Session 5 (Best Practices):</t>
        </is>
      </c>
    </row>
    <row r="15">
      <c r="B15" s="31" t="inlineStr">
        <is>
          <t>✔️</t>
        </is>
      </c>
      <c r="C15" s="29" t="inlineStr">
        <is>
          <t>ใช้เมนู Format &gt; Number &gt; Number (1,000.00) จัดการใส่ลูกน้ำแทนการพิมพ์มือ</t>
        </is>
      </c>
    </row>
    <row r="16">
      <c r="B16" s="31" t="inlineStr">
        <is>
          <t>✔️</t>
        </is>
      </c>
      <c r="C16" s="29" t="inlineStr">
        <is>
          <t>ใช้สูตร =VALUE(SUBSTITUTE(SUBSTITUTE(E2, '฿', ''), 'บาท', '')) แปลงข้อความกลับเป็นตัวเลขแท้จริง</t>
        </is>
      </c>
    </row>
    <row r="17">
      <c r="B17" s="31" t="inlineStr">
        <is>
          <t>✔️</t>
        </is>
      </c>
      <c r="C17" s="29" t="inlineStr">
        <is>
          <t>ตั้งฟอร์แมตเบอร์โทรศัพท์เป็น 'Plain text' เสมอเพื่อรักษาเลข 0 ข้างหน้า</t>
        </is>
      </c>
    </row>
    <row r="18">
      <c r="B18" s="31" t="inlineStr">
        <is>
          <t>✔️</t>
        </is>
      </c>
      <c r="C18" s="29" t="inlineStr">
        <is>
          <t>ใช้วันที่มาตรฐานสากล YYYY-MM-DD (ISO 8601) และปรับ Locale ใน File &gt; Settings ให้ถูกต้อง</t>
        </is>
      </c>
    </row>
    <row r="19"/>
    <row r="20">
      <c r="B20" s="33" t="inlineStr">
        <is>
          <t>เครื่องมือ &amp; สูตร Google Sheets ที่ใช้:</t>
        </is>
      </c>
      <c r="C20" s="28" t="inlineStr">
        <is>
          <t>Format &gt; Number, =VALUE(), =SUBSTITUTE(), Date formatting YYYY-MM-DD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3" customWidth="1" min="4" max="4"/>
    <col width="14" customWidth="1" min="5" max="5"/>
    <col width="24" customWidth="1" min="6" max="6"/>
    <col width="20" customWidth="1" min="7" max="7"/>
    <col width="16" customWidth="1" min="8" max="8"/>
    <col width="58" customWidth="1" min="9" max="9"/>
  </cols>
  <sheetData>
    <row r="1">
      <c r="A1" s="15" t="inlineStr">
        <is>
          <t>Order_ID</t>
        </is>
      </c>
      <c r="B1" s="15" t="inlineStr">
        <is>
          <t>Date</t>
        </is>
      </c>
      <c r="C1" s="15" t="inlineStr">
        <is>
          <t>Customer_Name</t>
        </is>
      </c>
      <c r="D1" s="15" t="inlineStr">
        <is>
          <t>Product_Name</t>
        </is>
      </c>
      <c r="E1" s="15" t="inlineStr">
        <is>
          <t>Unit_Price</t>
        </is>
      </c>
      <c r="F1" s="15" t="inlineStr">
        <is>
          <t>Quantity</t>
        </is>
      </c>
      <c r="G1" s="15" t="inlineStr">
        <is>
          <t>Total_Amount</t>
        </is>
      </c>
      <c r="H1" s="15" t="inlineStr">
        <is>
          <t>Discount_Pct</t>
        </is>
      </c>
      <c r="I1" s="15" t="inlineStr">
        <is>
          <t>Note_Outlier_Audit</t>
        </is>
      </c>
    </row>
    <row r="2">
      <c r="A2" s="16" t="inlineStr">
        <is>
          <t>ORD-701</t>
        </is>
      </c>
      <c r="B2" s="16" t="inlineStr">
        <is>
          <t>2026-03-01</t>
        </is>
      </c>
      <c r="C2" s="17" t="inlineStr">
        <is>
          <t>คุณวิศรุต</t>
        </is>
      </c>
      <c r="D2" s="17" t="inlineStr">
        <is>
          <t>เสื้อยืด Oversize</t>
        </is>
      </c>
      <c r="E2" s="19" t="n">
        <v>350</v>
      </c>
      <c r="F2" s="19" t="n">
        <v>1</v>
      </c>
      <c r="G2" s="19" t="n">
        <v>350</v>
      </c>
      <c r="H2" s="16" t="inlineStr">
        <is>
          <t>0%</t>
        </is>
      </c>
      <c r="I2" s="17" t="inlineStr">
        <is>
          <t>ปกติ</t>
        </is>
      </c>
    </row>
    <row r="3">
      <c r="A3" s="16" t="inlineStr">
        <is>
          <t>ORD-702</t>
        </is>
      </c>
      <c r="B3" s="16" t="inlineStr">
        <is>
          <t>2026-03-01</t>
        </is>
      </c>
      <c r="C3" s="17" t="inlineStr">
        <is>
          <t>คุณนารี</t>
        </is>
      </c>
      <c r="D3" s="17" t="inlineStr">
        <is>
          <t>กางเกงยีนส์คาร์โก้</t>
        </is>
      </c>
      <c r="E3" s="19" t="n">
        <v>890</v>
      </c>
      <c r="F3" s="19" t="n">
        <v>2</v>
      </c>
      <c r="G3" s="19" t="n">
        <v>1780</v>
      </c>
      <c r="H3" s="16" t="inlineStr">
        <is>
          <t>5%</t>
        </is>
      </c>
      <c r="I3" s="17" t="inlineStr">
        <is>
          <t>ปกติ</t>
        </is>
      </c>
    </row>
    <row r="4">
      <c r="A4" s="20" t="inlineStr">
        <is>
          <t>ORD-703</t>
        </is>
      </c>
      <c r="B4" s="20" t="inlineStr">
        <is>
          <t>2026-03-01</t>
        </is>
      </c>
      <c r="C4" s="21" t="inlineStr">
        <is>
          <t>คุณธนาคาร</t>
        </is>
      </c>
      <c r="D4" s="21" t="inlineStr">
        <is>
          <t>เดรสผ้าซาติน</t>
        </is>
      </c>
      <c r="E4" s="39" t="n">
        <v>450</v>
      </c>
      <c r="F4" s="39" t="n">
        <v>999</v>
      </c>
      <c r="G4" s="39" t="n">
        <v>449550</v>
      </c>
      <c r="H4" s="40" t="inlineStr">
        <is>
          <t>0%</t>
        </is>
      </c>
      <c r="I4" s="21" t="inlineStr">
        <is>
          <t>Outlier! คีย์จำนวนเบิ้ล 999 ชิ้น (ยอดพุ่ง 4 แสน)</t>
        </is>
      </c>
    </row>
    <row r="5">
      <c r="A5" s="16" t="inlineStr">
        <is>
          <t>ORD-704</t>
        </is>
      </c>
      <c r="B5" s="16" t="inlineStr">
        <is>
          <t>2026-03-02</t>
        </is>
      </c>
      <c r="C5" s="17" t="inlineStr">
        <is>
          <t>คุณศิริ</t>
        </is>
      </c>
      <c r="D5" s="17" t="inlineStr">
        <is>
          <t>เสื้อครอปไหมพรม</t>
        </is>
      </c>
      <c r="E5" s="19" t="n">
        <v>290</v>
      </c>
      <c r="F5" s="19" t="n">
        <v>1</v>
      </c>
      <c r="G5" s="19" t="n">
        <v>290</v>
      </c>
      <c r="H5" s="16" t="inlineStr">
        <is>
          <t>0%</t>
        </is>
      </c>
      <c r="I5" s="17" t="inlineStr">
        <is>
          <t>ปกติ</t>
        </is>
      </c>
    </row>
    <row r="6">
      <c r="A6" s="20" t="inlineStr">
        <is>
          <t>ORD-705</t>
        </is>
      </c>
      <c r="B6" s="20" t="inlineStr">
        <is>
          <t>2026-03-02</t>
        </is>
      </c>
      <c r="C6" s="21" t="inlineStr">
        <is>
          <t>คุณพงศธร</t>
        </is>
      </c>
      <c r="D6" s="21" t="inlineStr">
        <is>
          <t>กางเกงสแล็คทำงาน</t>
        </is>
      </c>
      <c r="E6" s="39" t="n">
        <v>-690</v>
      </c>
      <c r="F6" s="39" t="n">
        <v>1</v>
      </c>
      <c r="G6" s="39" t="n">
        <v>-690</v>
      </c>
      <c r="H6" s="40" t="inlineStr">
        <is>
          <t>0%</t>
        </is>
      </c>
      <c r="I6" s="21" t="inlineStr">
        <is>
          <t>Outlier! ราคาสินค้าติดลบ -690 บาท</t>
        </is>
      </c>
    </row>
    <row r="7">
      <c r="A7" s="16" t="inlineStr">
        <is>
          <t>ORD-706</t>
        </is>
      </c>
      <c r="B7" s="16" t="inlineStr">
        <is>
          <t>2026-03-02</t>
        </is>
      </c>
      <c r="C7" s="17" t="inlineStr">
        <is>
          <t>คุณมาลินี</t>
        </is>
      </c>
      <c r="D7" s="17" t="inlineStr">
        <is>
          <t>เสื้อยืด Oversize</t>
        </is>
      </c>
      <c r="E7" s="19" t="n">
        <v>350</v>
      </c>
      <c r="F7" s="19" t="n">
        <v>2</v>
      </c>
      <c r="G7" s="19" t="n">
        <v>700</v>
      </c>
      <c r="H7" s="16" t="inlineStr">
        <is>
          <t>10%</t>
        </is>
      </c>
      <c r="I7" s="17" t="inlineStr">
        <is>
          <t>ปกติ</t>
        </is>
      </c>
    </row>
    <row r="8">
      <c r="A8" s="16" t="inlineStr">
        <is>
          <t>ORD-707</t>
        </is>
      </c>
      <c r="B8" s="16" t="inlineStr">
        <is>
          <t>2026-03-03</t>
        </is>
      </c>
      <c r="C8" s="17" t="inlineStr">
        <is>
          <t>คุณจิรศักดิ์</t>
        </is>
      </c>
      <c r="D8" s="17" t="inlineStr">
        <is>
          <t>เสื้อฮู้ดดี้แขนยาว</t>
        </is>
      </c>
      <c r="E8" s="19" t="n">
        <v>650</v>
      </c>
      <c r="F8" s="19" t="n">
        <v>1</v>
      </c>
      <c r="G8" s="19" t="n">
        <v>650</v>
      </c>
      <c r="H8" s="16" t="inlineStr">
        <is>
          <t>0%</t>
        </is>
      </c>
      <c r="I8" s="17" t="inlineStr">
        <is>
          <t>ปกติ</t>
        </is>
      </c>
    </row>
    <row r="9">
      <c r="A9" s="20" t="inlineStr">
        <is>
          <t>ORD-708</t>
        </is>
      </c>
      <c r="B9" s="20" t="inlineStr">
        <is>
          <t>2026-03-03</t>
        </is>
      </c>
      <c r="C9" s="21" t="inlineStr">
        <is>
          <t>คุณพรสวรรค์</t>
        </is>
      </c>
      <c r="D9" s="21" t="inlineStr">
        <is>
          <t>กระเป๋าผ้าแคนวาส</t>
        </is>
      </c>
      <c r="E9" s="39" t="n">
        <v>199</v>
      </c>
      <c r="F9" s="39" t="n">
        <v>1</v>
      </c>
      <c r="G9" s="39" t="n">
        <v>199</v>
      </c>
      <c r="H9" s="40" t="inlineStr">
        <is>
          <t>150%</t>
        </is>
      </c>
      <c r="I9" s="21" t="inlineStr">
        <is>
          <t>Outlier! ส่วนลดหลุดโลก 150% (เกิน 100%)</t>
        </is>
      </c>
    </row>
    <row r="10">
      <c r="A10" s="16" t="inlineStr">
        <is>
          <t>ORD-709</t>
        </is>
      </c>
      <c r="B10" s="16" t="inlineStr">
        <is>
          <t>2026-03-03</t>
        </is>
      </c>
      <c r="C10" s="17" t="inlineStr">
        <is>
          <t>คุณทินกร</t>
        </is>
      </c>
      <c r="D10" s="17" t="inlineStr">
        <is>
          <t>กางเกงยีนส์ขากระบอก</t>
        </is>
      </c>
      <c r="E10" s="19" t="n">
        <v>890</v>
      </c>
      <c r="F10" s="19" t="n">
        <v>1</v>
      </c>
      <c r="G10" s="19" t="n">
        <v>890</v>
      </c>
      <c r="H10" s="16" t="inlineStr">
        <is>
          <t>0%</t>
        </is>
      </c>
      <c r="I10" s="17" t="inlineStr">
        <is>
          <t>ปกติ</t>
        </is>
      </c>
    </row>
    <row r="11">
      <c r="A11" s="16" t="inlineStr">
        <is>
          <t>ORD-710</t>
        </is>
      </c>
      <c r="B11" s="16" t="inlineStr">
        <is>
          <t>2026-03-04</t>
        </is>
      </c>
      <c r="C11" s="17" t="inlineStr">
        <is>
          <t>คุณอรอนงค์</t>
        </is>
      </c>
      <c r="D11" s="17" t="inlineStr">
        <is>
          <t>เดรสผ้าซาติน</t>
        </is>
      </c>
      <c r="E11" s="19" t="n">
        <v>450</v>
      </c>
      <c r="F11" s="19" t="n">
        <v>1</v>
      </c>
      <c r="G11" s="19" t="n">
        <v>450</v>
      </c>
      <c r="H11" s="16" t="inlineStr">
        <is>
          <t>0%</t>
        </is>
      </c>
      <c r="I11" s="17" t="inlineStr">
        <is>
          <t>ปกติ</t>
        </is>
      </c>
    </row>
    <row r="12">
      <c r="A12" s="16" t="inlineStr">
        <is>
          <t>ORD-711</t>
        </is>
      </c>
      <c r="B12" s="16" t="inlineStr">
        <is>
          <t>2026-03-04</t>
        </is>
      </c>
      <c r="C12" s="17" t="inlineStr">
        <is>
          <t>คุณเฉลิมชัย</t>
        </is>
      </c>
      <c r="D12" s="17" t="inlineStr">
        <is>
          <t>เสื้อเบลเซอร์ลำลอง</t>
        </is>
      </c>
      <c r="E12" s="19" t="n">
        <v>890</v>
      </c>
      <c r="F12" s="19" t="n">
        <v>2</v>
      </c>
      <c r="G12" s="19" t="n">
        <v>1780</v>
      </c>
      <c r="H12" s="16" t="inlineStr">
        <is>
          <t>5%</t>
        </is>
      </c>
      <c r="I12" s="17" t="inlineStr">
        <is>
          <t>ปกติ</t>
        </is>
      </c>
    </row>
    <row r="13">
      <c r="A13" s="16" t="inlineStr">
        <is>
          <t>ORD-712</t>
        </is>
      </c>
      <c r="B13" s="16" t="inlineStr">
        <is>
          <t>2026-03-04</t>
        </is>
      </c>
      <c r="C13" s="17" t="inlineStr">
        <is>
          <t>คุณกัญญารัตน์</t>
        </is>
      </c>
      <c r="D13" s="17" t="inlineStr">
        <is>
          <t>เสื้อยืด Oversize</t>
        </is>
      </c>
      <c r="E13" s="19" t="n">
        <v>350</v>
      </c>
      <c r="F13" s="19" t="n">
        <v>1</v>
      </c>
      <c r="G13" s="19" t="n">
        <v>350</v>
      </c>
      <c r="H13" s="16" t="inlineStr">
        <is>
          <t>0%</t>
        </is>
      </c>
      <c r="I13" s="17" t="inlineStr">
        <is>
          <t>ปกติ</t>
        </is>
      </c>
    </row>
    <row r="14">
      <c r="A14" s="20" t="inlineStr">
        <is>
          <t>ORD-713</t>
        </is>
      </c>
      <c r="B14" s="20" t="inlineStr">
        <is>
          <t>2026-03-05</t>
        </is>
      </c>
      <c r="C14" s="21" t="inlineStr">
        <is>
          <t>คุณมนตรี</t>
        </is>
      </c>
      <c r="D14" s="21" t="inlineStr">
        <is>
          <t>เสื้อโปโลคลาสสิก</t>
        </is>
      </c>
      <c r="E14" s="39" t="n">
        <v>450</v>
      </c>
      <c r="F14" s="39" t="n">
        <v>5000</v>
      </c>
      <c r="G14" s="39" t="n">
        <v>2250000</v>
      </c>
      <c r="H14" s="40" t="inlineStr">
        <is>
          <t>0%</t>
        </is>
      </c>
      <c r="I14" s="21" t="inlineStr">
        <is>
          <t>Outlier! คีย์ยอด 5,000 ตัว ยอดขายพุ่ง 2.2 ล้าน</t>
        </is>
      </c>
    </row>
    <row r="15">
      <c r="A15" s="16" t="inlineStr">
        <is>
          <t>ORD-714</t>
        </is>
      </c>
      <c r="B15" s="16" t="inlineStr">
        <is>
          <t>2026-03-05</t>
        </is>
      </c>
      <c r="C15" s="17" t="inlineStr">
        <is>
          <t>คุณจารุณี</t>
        </is>
      </c>
      <c r="D15" s="17" t="inlineStr">
        <is>
          <t>เสื้อครอปไหมพรม</t>
        </is>
      </c>
      <c r="E15" s="19" t="n">
        <v>290</v>
      </c>
      <c r="F15" s="19" t="n">
        <v>1</v>
      </c>
      <c r="G15" s="19" t="n">
        <v>290</v>
      </c>
      <c r="H15" s="16" t="inlineStr">
        <is>
          <t>0%</t>
        </is>
      </c>
      <c r="I15" s="17" t="inlineStr">
        <is>
          <t>ปกติ</t>
        </is>
      </c>
    </row>
    <row r="16">
      <c r="A16" s="16" t="inlineStr">
        <is>
          <t>ORD-715</t>
        </is>
      </c>
      <c r="B16" s="16" t="inlineStr">
        <is>
          <t>2026-03-05</t>
        </is>
      </c>
      <c r="C16" s="17" t="inlineStr">
        <is>
          <t>คุณอภิสิทธิ์</t>
        </is>
      </c>
      <c r="D16" s="17" t="inlineStr">
        <is>
          <t>กางเกงสแล็คทำงาน</t>
        </is>
      </c>
      <c r="E16" s="19" t="n">
        <v>690</v>
      </c>
      <c r="F16" s="19" t="n">
        <v>1</v>
      </c>
      <c r="G16" s="19" t="n">
        <v>690</v>
      </c>
      <c r="H16" s="16" t="inlineStr">
        <is>
          <t>0%</t>
        </is>
      </c>
      <c r="I16" s="17" t="inlineStr">
        <is>
          <t>ปกติ</t>
        </is>
      </c>
    </row>
    <row r="17">
      <c r="A17" s="16" t="inlineStr">
        <is>
          <t>ORD-716</t>
        </is>
      </c>
      <c r="B17" s="16" t="inlineStr">
        <is>
          <t>2026-03-06</t>
        </is>
      </c>
      <c r="C17" s="17" t="inlineStr">
        <is>
          <t>คุณสุดารัตน์</t>
        </is>
      </c>
      <c r="D17" s="17" t="inlineStr">
        <is>
          <t>เสื้อยืด Oversize</t>
        </is>
      </c>
      <c r="E17" s="19" t="n">
        <v>350</v>
      </c>
      <c r="F17" s="19" t="n">
        <v>2</v>
      </c>
      <c r="G17" s="19" t="n">
        <v>700</v>
      </c>
      <c r="H17" s="16" t="inlineStr">
        <is>
          <t>0%</t>
        </is>
      </c>
      <c r="I17" s="17" t="inlineStr">
        <is>
          <t>ปกติ</t>
        </is>
      </c>
    </row>
    <row r="18">
      <c r="A18" s="16" t="inlineStr">
        <is>
          <t>ORD-717</t>
        </is>
      </c>
      <c r="B18" s="16" t="inlineStr">
        <is>
          <t>2026-03-06</t>
        </is>
      </c>
      <c r="C18" s="17" t="inlineStr">
        <is>
          <t>คุณธเนศ</t>
        </is>
      </c>
      <c r="D18" s="17" t="inlineStr">
        <is>
          <t>กางเกงยีนส์คาร์โก้</t>
        </is>
      </c>
      <c r="E18" s="19" t="n">
        <v>890</v>
      </c>
      <c r="F18" s="19" t="n">
        <v>1</v>
      </c>
      <c r="G18" s="19" t="n">
        <v>890</v>
      </c>
      <c r="H18" s="16" t="inlineStr">
        <is>
          <t>5%</t>
        </is>
      </c>
      <c r="I18" s="17" t="inlineStr">
        <is>
          <t>ปกติ</t>
        </is>
      </c>
    </row>
    <row r="19">
      <c r="A19" s="20" t="inlineStr">
        <is>
          <t>ORD-718</t>
        </is>
      </c>
      <c r="B19" s="20" t="inlineStr">
        <is>
          <t>2026-03-06</t>
        </is>
      </c>
      <c r="C19" s="21" t="inlineStr">
        <is>
          <t>คุณวรรณา</t>
        </is>
      </c>
      <c r="D19" s="21" t="inlineStr">
        <is>
          <t>เดรสผ้าซาติน</t>
        </is>
      </c>
      <c r="E19" s="39" t="n">
        <v>450</v>
      </c>
      <c r="F19" s="39" t="n">
        <v>1</v>
      </c>
      <c r="G19" s="39" t="n">
        <v>-450</v>
      </c>
      <c r="H19" s="40" t="inlineStr">
        <is>
          <t>0%</t>
        </is>
      </c>
      <c r="I19" s="21" t="inlineStr">
        <is>
          <t>Outlier! ยอดรวมติดลบ -450 บาท</t>
        </is>
      </c>
    </row>
    <row r="20">
      <c r="A20" s="16" t="inlineStr">
        <is>
          <t>ORD-719</t>
        </is>
      </c>
      <c r="B20" s="16" t="inlineStr">
        <is>
          <t>2026-03-07</t>
        </is>
      </c>
      <c r="C20" s="17" t="inlineStr">
        <is>
          <t>คุณสุรศักดิ์</t>
        </is>
      </c>
      <c r="D20" s="17" t="inlineStr">
        <is>
          <t>เสื้อฮู้ดดี้แขนยาว</t>
        </is>
      </c>
      <c r="E20" s="19" t="n">
        <v>650</v>
      </c>
      <c r="F20" s="19" t="n">
        <v>2</v>
      </c>
      <c r="G20" s="19" t="n">
        <v>1300</v>
      </c>
      <c r="H20" s="16" t="inlineStr">
        <is>
          <t>0%</t>
        </is>
      </c>
      <c r="I20" s="17" t="inlineStr">
        <is>
          <t>ปกติ</t>
        </is>
      </c>
    </row>
    <row r="21">
      <c r="A21" s="16" t="inlineStr">
        <is>
          <t>ORD-720</t>
        </is>
      </c>
      <c r="B21" s="16" t="inlineStr">
        <is>
          <t>2026-03-07</t>
        </is>
      </c>
      <c r="C21" s="17" t="inlineStr">
        <is>
          <t>คุณปานทิพย์</t>
        </is>
      </c>
      <c r="D21" s="17" t="inlineStr">
        <is>
          <t>กระเป๋าผ้าแคนวาส</t>
        </is>
      </c>
      <c r="E21" s="19" t="n">
        <v>199</v>
      </c>
      <c r="F21" s="19" t="n">
        <v>1</v>
      </c>
      <c r="G21" s="19" t="n">
        <v>199</v>
      </c>
      <c r="H21" s="16" t="inlineStr">
        <is>
          <t>0%</t>
        </is>
      </c>
      <c r="I21" s="17" t="inlineStr">
        <is>
          <t>ปกติ</t>
        </is>
      </c>
    </row>
    <row r="22">
      <c r="A22" s="16" t="inlineStr">
        <is>
          <t>ORD-721</t>
        </is>
      </c>
      <c r="B22" s="16" t="inlineStr">
        <is>
          <t>2026-03-07</t>
        </is>
      </c>
      <c r="C22" s="17" t="inlineStr">
        <is>
          <t>คุณเกรียงเดช</t>
        </is>
      </c>
      <c r="D22" s="17" t="inlineStr">
        <is>
          <t>เสื้อเบลเซอร์ลำลอง</t>
        </is>
      </c>
      <c r="E22" s="19" t="n">
        <v>890</v>
      </c>
      <c r="F22" s="19" t="n">
        <v>1</v>
      </c>
      <c r="G22" s="19" t="n">
        <v>890</v>
      </c>
      <c r="H22" s="16" t="inlineStr">
        <is>
          <t>10%</t>
        </is>
      </c>
      <c r="I22" s="17" t="inlineStr">
        <is>
          <t>ปกติ</t>
        </is>
      </c>
    </row>
    <row r="23">
      <c r="A23" s="16" t="inlineStr">
        <is>
          <t>ORD-722</t>
        </is>
      </c>
      <c r="B23" s="16" t="inlineStr">
        <is>
          <t>2026-03-08</t>
        </is>
      </c>
      <c r="C23" s="17" t="inlineStr">
        <is>
          <t>คุณรพีพร</t>
        </is>
      </c>
      <c r="D23" s="17" t="inlineStr">
        <is>
          <t>เสื้อยืด Oversize</t>
        </is>
      </c>
      <c r="E23" s="19" t="n">
        <v>350</v>
      </c>
      <c r="F23" s="19" t="n">
        <v>1</v>
      </c>
      <c r="G23" s="19" t="n">
        <v>350</v>
      </c>
      <c r="H23" s="16" t="inlineStr">
        <is>
          <t>0%</t>
        </is>
      </c>
      <c r="I23" s="17" t="inlineStr">
        <is>
          <t>ปกติ</t>
        </is>
      </c>
    </row>
    <row r="24">
      <c r="A24" s="16" t="inlineStr">
        <is>
          <t>ORD-723</t>
        </is>
      </c>
      <c r="B24" s="16" t="inlineStr">
        <is>
          <t>2026-03-08</t>
        </is>
      </c>
      <c r="C24" s="17" t="inlineStr">
        <is>
          <t>คุณโสภณ</t>
        </is>
      </c>
      <c r="D24" s="17" t="inlineStr">
        <is>
          <t>เสื้อโปโลคลาสสิก</t>
        </is>
      </c>
      <c r="E24" s="19" t="n">
        <v>450</v>
      </c>
      <c r="F24" s="19" t="n">
        <v>1</v>
      </c>
      <c r="G24" s="19" t="n">
        <v>450</v>
      </c>
      <c r="H24" s="16" t="inlineStr">
        <is>
          <t>0%</t>
        </is>
      </c>
      <c r="I24" s="17" t="inlineStr">
        <is>
          <t>ปกติ</t>
        </is>
      </c>
    </row>
    <row r="25">
      <c r="A25" s="16" t="inlineStr">
        <is>
          <t>ORD-724</t>
        </is>
      </c>
      <c r="B25" s="16" t="inlineStr">
        <is>
          <t>2026-03-08</t>
        </is>
      </c>
      <c r="C25" s="17" t="inlineStr">
        <is>
          <t>คุณกานติมา</t>
        </is>
      </c>
      <c r="D25" s="17" t="inlineStr">
        <is>
          <t>กางเกงยีนส์ขากระบอก</t>
        </is>
      </c>
      <c r="E25" s="19" t="n">
        <v>890</v>
      </c>
      <c r="F25" s="19" t="n">
        <v>2</v>
      </c>
      <c r="G25" s="19" t="n">
        <v>1780</v>
      </c>
      <c r="H25" s="16" t="inlineStr">
        <is>
          <t>0%</t>
        </is>
      </c>
      <c r="I25" s="17" t="inlineStr">
        <is>
          <t>ปกติ</t>
        </is>
      </c>
    </row>
    <row r="26">
      <c r="A26" s="16" t="inlineStr">
        <is>
          <t>ORD-725</t>
        </is>
      </c>
      <c r="B26" s="16" t="inlineStr">
        <is>
          <t>2026-03-08</t>
        </is>
      </c>
      <c r="C26" s="17" t="inlineStr">
        <is>
          <t>คุณพิพัฒน์</t>
        </is>
      </c>
      <c r="D26" s="17" t="inlineStr">
        <is>
          <t>เสื้อยืด Oversize</t>
        </is>
      </c>
      <c r="E26" s="19" t="n">
        <v>350</v>
      </c>
      <c r="F26" s="19" t="n">
        <v>1</v>
      </c>
      <c r="G26" s="19" t="n">
        <v>350</v>
      </c>
      <c r="H26" s="16" t="inlineStr">
        <is>
          <t>0%</t>
        </is>
      </c>
      <c r="I26" s="17" t="inlineStr">
        <is>
          <t>ปกติ</t>
        </is>
      </c>
    </row>
    <row r="27">
      <c r="F27" s="28" t="inlineStr">
        <is>
          <t>ค่าเฉลี่ย (Mean):</t>
        </is>
      </c>
      <c r="G27" s="41">
        <f>AVERAGE(G2:G26)</f>
        <v/>
      </c>
      <c r="I27" s="42" t="inlineStr">
        <is>
          <t>⬅️ ยอดเฉลี่ยเพี้ยนทะลุ 100,000+ บาท เพราะมีบิลหลุดโลก!</t>
        </is>
      </c>
    </row>
    <row r="28">
      <c r="F28" s="28" t="inlineStr">
        <is>
          <t>ค่ามัธยฐาน (Median):</t>
        </is>
      </c>
      <c r="G28" s="43">
        <f>MEDIAN(G2:G26)</f>
        <v/>
      </c>
      <c r="I28" s="42" t="inlineStr">
        <is>
          <t>⬅️ มัธยฐาน 650 บาท สะท้อนยอดซื้อจริงของลูกค้าทั่วไป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5" customWidth="1" min="3" max="3"/>
  </cols>
  <sheetData>
    <row r="1"/>
    <row r="2">
      <c r="B2" s="25" t="inlineStr">
        <is>
          <t>กับดักที่ 5: ค่าผิดปกติหลุดโลก (Outliers &amp; Anomalies)</t>
        </is>
      </c>
    </row>
    <row r="3">
      <c r="B3" s="26" t="inlineStr">
        <is>
          <t>ไฟล์ตัวอย่างยอดขายที่มีตัวเลขสุดโต่ง ยอดติดลบ และจำนวน 999 ชิ้น จนดึงค่าเฉลี่ยเพี้ยน</t>
        </is>
      </c>
    </row>
    <row r="4"/>
    <row r="5">
      <c r="B5" s="27" t="inlineStr">
        <is>
          <t>กับดักข้อมูลสกปรก (Dirty Data Trap):</t>
        </is>
      </c>
      <c r="C5" s="28" t="inlineStr">
        <is>
          <t>Trap 5: Outliers &amp; Anomalies</t>
        </is>
      </c>
    </row>
    <row r="6">
      <c r="B6" s="28" t="inlineStr">
        <is>
          <t>ลักษณะข้อมูลที่ไม่ถูกต้องในตารางนี้:</t>
        </is>
      </c>
      <c r="C6" s="29" t="inlineStr">
        <is>
          <t>ค่าสุดโต่งจากการพิมพ์ผิด แป้นพิมพ์ค้าง หรือระบบรวน ส่งผลกระทบอย่างรุนแรงต่อค่าเฉลี่ยเลขคณิต</t>
        </is>
      </c>
    </row>
    <row r="7"/>
    <row r="8">
      <c r="B8" s="30" t="inlineStr">
        <is>
          <t>ทำไมจึงเป็นปัญหาต่อธุรกิจ? (Pain Points &amp; GIGO):</t>
        </is>
      </c>
    </row>
    <row r="9">
      <c r="B9" s="31" t="inlineStr">
        <is>
          <t>❌</t>
        </is>
      </c>
      <c r="C9" s="29" t="inlineStr">
        <is>
          <t>ค่าเฉลี่ย (Mean) พังทลาย: ออเดอร์ 5,000 ชิ้น และยอดติดลบ ดึงยอดเฉลี่ยจาก 600 บาท พุ่งกลายเป็นหลักแสน!</t>
        </is>
      </c>
    </row>
    <row r="10">
      <c r="B10" s="31" t="inlineStr">
        <is>
          <t>❌</t>
        </is>
      </c>
      <c r="C10" s="29" t="inlineStr">
        <is>
          <t>วางแผนสต็อกผิดพลาด: ฝ่ายจัดซื้อเตรียมผ้าตัดเสื้อเป็นพันตัวจนเงินจม เพราะดูตัวเลข Mean ที่บิดเบือน</t>
        </is>
      </c>
    </row>
    <row r="11">
      <c r="B11" s="31" t="inlineStr">
        <is>
          <t>❌</t>
        </is>
      </c>
      <c r="C11" s="29" t="inlineStr">
        <is>
          <t>AI วิเคราะห์หลอน: ป้อนข้อมูลนี้ให้ AI สรุปกลยุทธ์ AI จะแนะนำให้ขยายโรงงานผลิตเดรสเพราะเข้าใจผิดว่าเป็นลูกค้ารายย่อยซื้อเยอะ</t>
        </is>
      </c>
    </row>
    <row r="12"/>
    <row r="13">
      <c r="B13" s="32" t="inlineStr">
        <is>
          <t>วิธีแก้ไขตามมาตรฐาน Session 5 (Best Practices):</t>
        </is>
      </c>
    </row>
    <row r="14">
      <c r="B14" s="31" t="inlineStr">
        <is>
          <t>✔️</t>
        </is>
      </c>
      <c r="C14" s="29" t="inlineStr">
        <is>
          <t>สแกนหาค่า Min และ Max ด้วยการ Sort คอลัมน์ตัวเลข จากน้อยไปมาก และมากไปน้อย</t>
        </is>
      </c>
    </row>
    <row r="15">
      <c r="B15" s="31" t="inlineStr">
        <is>
          <t>✔️</t>
        </is>
      </c>
      <c r="C15" s="29" t="inlineStr">
        <is>
          <t>เปิด Filter กรองดูค่าติดลบ (&lt; 0) หรือค่าเกินจริง (&gt; 10,000)</t>
        </is>
      </c>
    </row>
    <row r="16">
      <c r="B16" s="31" t="inlineStr">
        <is>
          <t>✔️</t>
        </is>
      </c>
      <c r="C16" s="29" t="inlineStr">
        <is>
          <t>ใช้ค่ามัธยฐาน (Median) แทนค่าเฉลี่ย (Mean) ในการดูพฤติกรรมลูกค้าทั่วไป</t>
        </is>
      </c>
    </row>
    <row r="17">
      <c r="B17" s="31" t="inlineStr">
        <is>
          <t>✔️</t>
        </is>
      </c>
      <c r="C17" s="29" t="inlineStr">
        <is>
          <t>ใช้ Data Validation ล็อกช่วงตัวเลข เช่น Qty ต้องอยู่ระหว่าง 1 ถึง 50 ชิ้น ป้องกันพนักงานคีย์เบิ้ล</t>
        </is>
      </c>
    </row>
    <row r="18"/>
    <row r="19">
      <c r="B19" s="33" t="inlineStr">
        <is>
          <t>เครื่องมือ &amp; สูตร Google Sheets ที่ใช้:</t>
        </is>
      </c>
      <c r="C19" s="28" t="inlineStr">
        <is>
          <t>Sort Min/Max, Filter (&lt; 0, &gt; Limit), =MEDIAN(), Data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2026-09-29T18:46:01Z</dcterms:created>
  <dcterms:modified xmlns:dcterms="http://purl.org/dc/terms/" xmlns:xsi="http://www.w3.org/2001/XMLSchema-instance" xsi:type="dcterms:W3CDTF">2026-09-29T18:46:02Z</dcterms:modified>
</cp:coreProperties>
</file>