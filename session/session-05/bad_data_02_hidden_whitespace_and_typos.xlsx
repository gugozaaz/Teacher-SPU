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_whitespace_trap" sheetId="1" state="visible" r:id="rId1"/>
    <sheet xmlns:r="http://schemas.openxmlformats.org/officeDocument/2006/relationships" name="คำอธิบายข้อผิดพลา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Thai"/>
      <b val="1"/>
      <color rgb="00FFFFFF"/>
      <sz val="10"/>
    </font>
    <font>
      <name val="Noto Sans Thai"/>
      <color rgb="000F172A"/>
      <sz val="10"/>
    </font>
    <font>
      <name val="Noto Sans Thai"/>
      <b val="1"/>
      <color rgb="001E1B4B"/>
      <sz val="13"/>
    </font>
    <font>
      <name val="Noto Sans Thai"/>
      <i val="1"/>
      <color rgb="004338CA"/>
      <sz val="10"/>
    </font>
    <font>
      <name val="Noto Sans Thai"/>
      <b val="1"/>
      <color rgb="000F172A"/>
      <sz val="10"/>
    </font>
    <font>
      <name val="Noto Sans Thai"/>
      <color rgb="00334155"/>
      <sz val="10"/>
    </font>
  </fonts>
  <fills count="7">
    <fill>
      <patternFill/>
    </fill>
    <fill>
      <patternFill patternType="gray125"/>
    </fill>
    <fill>
      <patternFill patternType="solid">
        <fgColor rgb="003730A3"/>
        <bgColor rgb="003730A3"/>
      </patternFill>
    </fill>
    <fill>
      <patternFill patternType="solid">
        <fgColor rgb="00FFE4E6"/>
        <bgColor rgb="00FFE4E6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0" fillId="0" borderId="0" applyAlignment="1" pivotButton="0" quotePrefix="0" xfId="0">
      <alignment horizontal="center"/>
    </xf>
    <xf numFmtId="0" fontId="5" fillId="5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13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44" customWidth="1" min="10" max="10"/>
  </cols>
  <sheetData>
    <row r="1">
      <c r="A1" s="1" t="inlineStr">
        <is>
          <t>Item_ID</t>
        </is>
      </c>
      <c r="B1" s="1" t="inlineStr">
        <is>
          <t>Date</t>
        </is>
      </c>
      <c r="C1" s="1" t="inlineStr">
        <is>
          <t>Menu_Name_Raw</t>
        </is>
      </c>
      <c r="D1" s="1" t="inlineStr">
        <is>
          <t>LEN_Audit</t>
        </is>
      </c>
      <c r="E1" s="1" t="inlineStr">
        <is>
          <t>Category</t>
        </is>
      </c>
      <c r="F1" s="1" t="inlineStr">
        <is>
          <t>Size</t>
        </is>
      </c>
      <c r="G1" s="1" t="inlineStr">
        <is>
          <t>Price</t>
        </is>
      </c>
      <c r="H1" s="1" t="inlineStr">
        <is>
          <t>Qty_Sold</t>
        </is>
      </c>
      <c r="I1" s="1" t="inlineStr">
        <is>
          <t>Revenue</t>
        </is>
      </c>
      <c r="J1" s="1" t="inlineStr">
        <is>
          <t>Note_Typo_Issue</t>
        </is>
      </c>
    </row>
    <row r="2">
      <c r="A2" s="2" t="inlineStr">
        <is>
          <t>HB-01</t>
        </is>
      </c>
      <c r="B2" s="2" t="inlineStr">
        <is>
          <t>2026-03-01</t>
        </is>
      </c>
      <c r="C2" s="3" t="inlineStr">
        <is>
          <t>ข้าวยำอกไก่ย่าง</t>
        </is>
      </c>
      <c r="D2" s="4">
        <f>LEN(C2)</f>
        <v/>
      </c>
      <c r="E2" s="3" t="inlineStr">
        <is>
          <t>อาหารคลีน</t>
        </is>
      </c>
      <c r="F2" s="2" t="inlineStr">
        <is>
          <t>M</t>
        </is>
      </c>
      <c r="G2" s="5" t="n">
        <v>129</v>
      </c>
      <c r="H2" s="4" t="n">
        <v>15</v>
      </c>
      <c r="I2" s="5">
        <f>G2*H2</f>
        <v/>
      </c>
      <c r="J2" s="3" t="inlineStr">
        <is>
          <t>ปกติ (ความยาว 14 ตัว)</t>
        </is>
      </c>
    </row>
    <row r="3">
      <c r="A3" s="2" t="inlineStr">
        <is>
          <t>HB-02</t>
        </is>
      </c>
      <c r="B3" s="2" t="inlineStr">
        <is>
          <t>2026-03-01</t>
        </is>
      </c>
      <c r="C3" s="6" t="inlineStr">
        <is>
          <t xml:space="preserve"> ข้าวยำอกไก่ย่าง</t>
        </is>
      </c>
      <c r="D3" s="7">
        <f>LEN(C3)</f>
        <v/>
      </c>
      <c r="E3" s="3" t="inlineStr">
        <is>
          <t>อาหารคลีน</t>
        </is>
      </c>
      <c r="F3" s="8" t="inlineStr">
        <is>
          <t>M</t>
        </is>
      </c>
      <c r="G3" s="5" t="n">
        <v>129</v>
      </c>
      <c r="H3" s="4" t="n">
        <v>8</v>
      </c>
      <c r="I3" s="5">
        <f>G3*H3</f>
        <v/>
      </c>
      <c r="J3" s="6" t="inlineStr">
        <is>
          <t>มี Space ข้างหน้า (Pivot แยกแถว)</t>
        </is>
      </c>
    </row>
    <row r="4">
      <c r="A4" s="2" t="inlineStr">
        <is>
          <t>HB-03</t>
        </is>
      </c>
      <c r="B4" s="2" t="inlineStr">
        <is>
          <t>2026-03-01</t>
        </is>
      </c>
      <c r="C4" s="6" t="inlineStr">
        <is>
          <t xml:space="preserve">ข้าวยำอกไก่ย่าง </t>
        </is>
      </c>
      <c r="D4" s="7">
        <f>LEN(C4)</f>
        <v/>
      </c>
      <c r="E4" s="3" t="inlineStr">
        <is>
          <t>อาหารคลีน</t>
        </is>
      </c>
      <c r="F4" s="8" t="inlineStr">
        <is>
          <t>m</t>
        </is>
      </c>
      <c r="G4" s="5" t="n">
        <v>129</v>
      </c>
      <c r="H4" s="4" t="n">
        <v>12</v>
      </c>
      <c r="I4" s="5">
        <f>G4*H4</f>
        <v/>
      </c>
      <c r="J4" s="6" t="inlineStr">
        <is>
          <t>มี Space ข้างหลัง + ไซส์ตัวพิมพ์เล็ก 'm'</t>
        </is>
      </c>
    </row>
    <row r="5">
      <c r="A5" s="2" t="inlineStr">
        <is>
          <t>HB-04</t>
        </is>
      </c>
      <c r="B5" s="2" t="inlineStr">
        <is>
          <t>2026-03-01</t>
        </is>
      </c>
      <c r="C5" s="6" t="inlineStr">
        <is>
          <t>ข้าวยำ   อกไก่ย่าง</t>
        </is>
      </c>
      <c r="D5" s="7">
        <f>LEN(C5)</f>
        <v/>
      </c>
      <c r="E5" s="3" t="inlineStr">
        <is>
          <t>อาหารคลีน</t>
        </is>
      </c>
      <c r="F5" s="8" t="inlineStr">
        <is>
          <t>M</t>
        </is>
      </c>
      <c r="G5" s="5" t="n">
        <v>129</v>
      </c>
      <c r="H5" s="4" t="n">
        <v>6</v>
      </c>
      <c r="I5" s="5">
        <f>G5*H5</f>
        <v/>
      </c>
      <c r="J5" s="6" t="inlineStr">
        <is>
          <t>Space ตรงกลาง 3 เคาะ</t>
        </is>
      </c>
    </row>
    <row r="6">
      <c r="A6" s="2" t="inlineStr">
        <is>
          <t>HB-05</t>
        </is>
      </c>
      <c r="B6" s="2" t="inlineStr">
        <is>
          <t>2026-03-02</t>
        </is>
      </c>
      <c r="C6" s="3" t="inlineStr">
        <is>
          <t>สลัดแซลมอนย่าง</t>
        </is>
      </c>
      <c r="D6" s="4">
        <f>LEN(C6)</f>
        <v/>
      </c>
      <c r="E6" s="3" t="inlineStr">
        <is>
          <t>สลัดเพื่อสุขภาพ</t>
        </is>
      </c>
      <c r="F6" s="2" t="inlineStr">
        <is>
          <t>L</t>
        </is>
      </c>
      <c r="G6" s="5" t="n">
        <v>189</v>
      </c>
      <c r="H6" s="4" t="n">
        <v>10</v>
      </c>
      <c r="I6" s="5">
        <f>G6*H6</f>
        <v/>
      </c>
      <c r="J6" s="3" t="inlineStr">
        <is>
          <t>ปกติ</t>
        </is>
      </c>
    </row>
    <row r="7">
      <c r="A7" s="2" t="inlineStr">
        <is>
          <t>HB-06</t>
        </is>
      </c>
      <c r="B7" s="2" t="inlineStr">
        <is>
          <t>2026-03-02</t>
        </is>
      </c>
      <c r="C7" s="6" t="inlineStr">
        <is>
          <t xml:space="preserve">  สลัดแซลมอนย่าง </t>
        </is>
      </c>
      <c r="D7" s="7">
        <f>LEN(C7)</f>
        <v/>
      </c>
      <c r="E7" s="3" t="inlineStr">
        <is>
          <t>สลัดเพื่อสุขภาพ</t>
        </is>
      </c>
      <c r="F7" s="8" t="inlineStr">
        <is>
          <t>l</t>
        </is>
      </c>
      <c r="G7" s="5" t="n">
        <v>189</v>
      </c>
      <c r="H7" s="4" t="n">
        <v>4</v>
      </c>
      <c r="I7" s="5">
        <f>G7*H7</f>
        <v/>
      </c>
      <c r="J7" s="6" t="inlineStr">
        <is>
          <t>Space ทั้งหน้าและหลัง + ไซส์ 'l'</t>
        </is>
      </c>
    </row>
    <row r="8">
      <c r="A8" s="2" t="inlineStr">
        <is>
          <t>HB-07</t>
        </is>
      </c>
      <c r="B8" s="2" t="inlineStr">
        <is>
          <t>2026-03-02</t>
        </is>
      </c>
      <c r="C8" s="3" t="inlineStr">
        <is>
          <t>สเต็กเต้าหู้เห็ดหอม</t>
        </is>
      </c>
      <c r="D8" s="4">
        <f>LEN(C8)</f>
        <v/>
      </c>
      <c r="E8" s="3" t="inlineStr">
        <is>
          <t>มังสวิรัติ</t>
        </is>
      </c>
      <c r="F8" s="2" t="inlineStr">
        <is>
          <t>Standard</t>
        </is>
      </c>
      <c r="G8" s="5" t="n">
        <v>119</v>
      </c>
      <c r="H8" s="4" t="n">
        <v>7</v>
      </c>
      <c r="I8" s="5">
        <f>G8*H8</f>
        <v/>
      </c>
      <c r="J8" s="3" t="inlineStr">
        <is>
          <t>ปกติ</t>
        </is>
      </c>
    </row>
    <row r="9">
      <c r="A9" s="2" t="inlineStr">
        <is>
          <t>HB-08</t>
        </is>
      </c>
      <c r="B9" s="2" t="inlineStr">
        <is>
          <t>2026-03-02</t>
        </is>
      </c>
      <c r="C9" s="6" t="inlineStr">
        <is>
          <t>สเต๊กเต้าหู้เห็ดหอม</t>
        </is>
      </c>
      <c r="D9" s="7">
        <f>LEN(C9)</f>
        <v/>
      </c>
      <c r="E9" s="3" t="inlineStr">
        <is>
          <t>มังสวิรัติ</t>
        </is>
      </c>
      <c r="F9" s="8" t="inlineStr">
        <is>
          <t>Standard</t>
        </is>
      </c>
      <c r="G9" s="5" t="n">
        <v>119</v>
      </c>
      <c r="H9" s="4" t="n">
        <v>5</v>
      </c>
      <c r="I9" s="5">
        <f>G9*H9</f>
        <v/>
      </c>
      <c r="J9" s="6" t="inlineStr">
        <is>
          <t>สะกดผิด 'สเต๊ก' (ไม้ตรี vs ไม้โท)</t>
        </is>
      </c>
    </row>
    <row r="10">
      <c r="A10" s="2" t="inlineStr">
        <is>
          <t>HB-09</t>
        </is>
      </c>
      <c r="B10" s="2" t="inlineStr">
        <is>
          <t>2026-03-03</t>
        </is>
      </c>
      <c r="C10" s="3" t="inlineStr">
        <is>
          <t>น้ำผลไม้สกัดเย็น</t>
        </is>
      </c>
      <c r="D10" s="4">
        <f>LEN(C10)</f>
        <v/>
      </c>
      <c r="E10" s="3" t="inlineStr">
        <is>
          <t>เครื่องดื่ม</t>
        </is>
      </c>
      <c r="F10" s="2" t="inlineStr">
        <is>
          <t>Bottle</t>
        </is>
      </c>
      <c r="G10" s="5" t="n">
        <v>85</v>
      </c>
      <c r="H10" s="4" t="n">
        <v>20</v>
      </c>
      <c r="I10" s="5">
        <f>G10*H10</f>
        <v/>
      </c>
      <c r="J10" s="3" t="inlineStr">
        <is>
          <t>ปกติ</t>
        </is>
      </c>
    </row>
    <row r="11">
      <c r="A11" s="2" t="inlineStr">
        <is>
          <t>HB-10</t>
        </is>
      </c>
      <c r="B11" s="2" t="inlineStr">
        <is>
          <t>2026-03-03</t>
        </is>
      </c>
      <c r="C11" s="6" t="inlineStr">
        <is>
          <t>Cold-Pressed Juice</t>
        </is>
      </c>
      <c r="D11" s="7">
        <f>LEN(C11)</f>
        <v/>
      </c>
      <c r="E11" s="3" t="inlineStr">
        <is>
          <t>Beverage</t>
        </is>
      </c>
      <c r="F11" s="8" t="inlineStr">
        <is>
          <t>bottle</t>
        </is>
      </c>
      <c r="G11" s="5" t="n">
        <v>85</v>
      </c>
      <c r="H11" s="4" t="n">
        <v>14</v>
      </c>
      <c r="I11" s="5">
        <f>G11*H11</f>
        <v/>
      </c>
      <c r="J11" s="6" t="inlineStr">
        <is>
          <t>ใช้ภาษาอังกฤษปน ไม่ตรงมาตรฐานภาษาไทย</t>
        </is>
      </c>
    </row>
    <row r="12">
      <c r="A12" s="2" t="inlineStr">
        <is>
          <t>HB-11</t>
        </is>
      </c>
      <c r="B12" s="2" t="inlineStr">
        <is>
          <t>2026-03-03</t>
        </is>
      </c>
      <c r="C12" s="6" t="inlineStr">
        <is>
          <t xml:space="preserve"> น้ำผลไม้สกัดเย็น </t>
        </is>
      </c>
      <c r="D12" s="7">
        <f>LEN(C12)</f>
        <v/>
      </c>
      <c r="E12" s="3" t="inlineStr">
        <is>
          <t>เครื่องดื่ม</t>
        </is>
      </c>
      <c r="F12" s="8" t="inlineStr">
        <is>
          <t>Bottle</t>
        </is>
      </c>
      <c r="G12" s="5" t="n">
        <v>85</v>
      </c>
      <c r="H12" s="4" t="n">
        <v>11</v>
      </c>
      <c r="I12" s="5">
        <f>G12*H12</f>
        <v/>
      </c>
      <c r="J12" s="6" t="inlineStr">
        <is>
          <t>ช่องว่างหน้าหลัง</t>
        </is>
      </c>
    </row>
    <row r="13">
      <c r="A13" s="2" t="inlineStr">
        <is>
          <t>HB-12</t>
        </is>
      </c>
      <c r="B13" s="2" t="inlineStr">
        <is>
          <t>2026-03-04</t>
        </is>
      </c>
      <c r="C13" s="3" t="inlineStr">
        <is>
          <t>อกไก่นุ่มพริกไทยดำ</t>
        </is>
      </c>
      <c r="D13" s="4">
        <f>LEN(C13)</f>
        <v/>
      </c>
      <c r="E13" s="3" t="inlineStr">
        <is>
          <t>อาหารคลีน</t>
        </is>
      </c>
      <c r="F13" s="2" t="inlineStr">
        <is>
          <t>S</t>
        </is>
      </c>
      <c r="G13" s="5" t="n">
        <v>99</v>
      </c>
      <c r="H13" s="4" t="n">
        <v>18</v>
      </c>
      <c r="I13" s="5">
        <f>G13*H13</f>
        <v/>
      </c>
      <c r="J13" s="3" t="inlineStr">
        <is>
          <t>ปกติ</t>
        </is>
      </c>
    </row>
    <row r="14">
      <c r="A14" s="2" t="inlineStr">
        <is>
          <t>HB-13</t>
        </is>
      </c>
      <c r="B14" s="2" t="inlineStr">
        <is>
          <t>2026-03-04</t>
        </is>
      </c>
      <c r="C14" s="6" t="inlineStr">
        <is>
          <t xml:space="preserve">อกไก่นุ่มพริกไทยดำ </t>
        </is>
      </c>
      <c r="D14" s="7">
        <f>LEN(C14)</f>
        <v/>
      </c>
      <c r="E14" s="3" t="inlineStr">
        <is>
          <t>อาหารคลีน</t>
        </is>
      </c>
      <c r="F14" s="8" t="inlineStr">
        <is>
          <t>s</t>
        </is>
      </c>
      <c r="G14" s="5" t="n">
        <v>99</v>
      </c>
      <c r="H14" s="4" t="n">
        <v>9</v>
      </c>
      <c r="I14" s="5">
        <f>G14*H14</f>
        <v/>
      </c>
      <c r="J14" s="6" t="inlineStr">
        <is>
          <t>มีช่องว่างท้ายคำ + ไซส์ตัวเล็ก</t>
        </is>
      </c>
    </row>
    <row r="15">
      <c r="A15" s="2" t="inlineStr">
        <is>
          <t>HB-14</t>
        </is>
      </c>
      <c r="B15" s="2" t="inlineStr">
        <is>
          <t>2026-03-04</t>
        </is>
      </c>
      <c r="C15" s="6" t="inlineStr">
        <is>
          <t xml:space="preserve"> อกไก่นุ่ม พริกไทยดำ</t>
        </is>
      </c>
      <c r="D15" s="7">
        <f>LEN(C15)</f>
        <v/>
      </c>
      <c r="E15" s="3" t="inlineStr">
        <is>
          <t>อาหารคลีน</t>
        </is>
      </c>
      <c r="F15" s="8" t="inlineStr">
        <is>
          <t>S</t>
        </is>
      </c>
      <c r="G15" s="5" t="n">
        <v>99</v>
      </c>
      <c r="H15" s="4" t="n">
        <v>5</v>
      </c>
      <c r="I15" s="5">
        <f>G15*H15</f>
        <v/>
      </c>
      <c r="J15" s="6" t="inlineStr">
        <is>
          <t>Space ด้านหน้าและเคาะตรงกลาง</t>
        </is>
      </c>
    </row>
    <row r="16">
      <c r="A16" s="2" t="inlineStr">
        <is>
          <t>HB-15</t>
        </is>
      </c>
      <c r="B16" s="2" t="inlineStr">
        <is>
          <t>2026-03-05</t>
        </is>
      </c>
      <c r="C16" s="3" t="inlineStr">
        <is>
          <t>ข้าวไรซ์เบอร์รี่ลาบปลาแซลมอน</t>
        </is>
      </c>
      <c r="D16" s="4">
        <f>LEN(C16)</f>
        <v/>
      </c>
      <c r="E16" s="3" t="inlineStr">
        <is>
          <t>อาหารคลีน</t>
        </is>
      </c>
      <c r="F16" s="2" t="inlineStr">
        <is>
          <t>M</t>
        </is>
      </c>
      <c r="G16" s="5" t="n">
        <v>159</v>
      </c>
      <c r="H16" s="4" t="n">
        <v>12</v>
      </c>
      <c r="I16" s="5">
        <f>G16*H16</f>
        <v/>
      </c>
      <c r="J16" s="3" t="inlineStr">
        <is>
          <t>ปกติ</t>
        </is>
      </c>
    </row>
    <row r="17">
      <c r="A17" s="2" t="inlineStr">
        <is>
          <t>HB-16</t>
        </is>
      </c>
      <c r="B17" s="2" t="inlineStr">
        <is>
          <t>2026-03-05</t>
        </is>
      </c>
      <c r="C17" s="6" t="inlineStr">
        <is>
          <t>ข้าวไรซ์เบอรี่ลาบปลาแซลมอน</t>
        </is>
      </c>
      <c r="D17" s="7">
        <f>LEN(C17)</f>
        <v/>
      </c>
      <c r="E17" s="3" t="inlineStr">
        <is>
          <t>อาหารคลีน</t>
        </is>
      </c>
      <c r="F17" s="8" t="inlineStr">
        <is>
          <t>m</t>
        </is>
      </c>
      <c r="G17" s="5" t="n">
        <v>159</v>
      </c>
      <c r="H17" s="4" t="n">
        <v>7</v>
      </c>
      <c r="I17" s="5">
        <f>G17*H17</f>
        <v/>
      </c>
      <c r="J17" s="6" t="inlineStr">
        <is>
          <t>สะกดผิด 'ไรซ์เบอรี่' (ขาดไม้หันอากาศ รร)</t>
        </is>
      </c>
    </row>
    <row r="18">
      <c r="A18" s="2" t="inlineStr">
        <is>
          <t>HB-17</t>
        </is>
      </c>
      <c r="B18" s="2" t="inlineStr">
        <is>
          <t>2026-03-05</t>
        </is>
      </c>
      <c r="C18" s="3" t="inlineStr">
        <is>
          <t>ซุปฟักทองญี่ปุ่น</t>
        </is>
      </c>
      <c r="D18" s="4">
        <f>LEN(C18)</f>
        <v/>
      </c>
      <c r="E18" s="3" t="inlineStr">
        <is>
          <t>ซุป &amp; ของทานเล่น</t>
        </is>
      </c>
      <c r="F18" s="2" t="inlineStr">
        <is>
          <t>Cup</t>
        </is>
      </c>
      <c r="G18" s="5" t="n">
        <v>79</v>
      </c>
      <c r="H18" s="4" t="n">
        <v>16</v>
      </c>
      <c r="I18" s="5">
        <f>G18*H18</f>
        <v/>
      </c>
      <c r="J18" s="3" t="inlineStr">
        <is>
          <t>ปกติ</t>
        </is>
      </c>
    </row>
    <row r="19">
      <c r="A19" s="2" t="inlineStr">
        <is>
          <t>HB-18</t>
        </is>
      </c>
      <c r="B19" s="2" t="inlineStr">
        <is>
          <t>2026-03-06</t>
        </is>
      </c>
      <c r="C19" s="6" t="inlineStr">
        <is>
          <t xml:space="preserve"> ซุปฟักทองญี่ปุ่น</t>
        </is>
      </c>
      <c r="D19" s="7">
        <f>LEN(C19)</f>
        <v/>
      </c>
      <c r="E19" s="3" t="inlineStr">
        <is>
          <t>ซุป &amp; ของทานเล่น</t>
        </is>
      </c>
      <c r="F19" s="8" t="inlineStr">
        <is>
          <t>cup</t>
        </is>
      </c>
      <c r="G19" s="5" t="n">
        <v>79</v>
      </c>
      <c r="H19" s="4" t="n">
        <v>8</v>
      </c>
      <c r="I19" s="5">
        <f>G19*H19</f>
        <v/>
      </c>
      <c r="J19" s="6" t="inlineStr">
        <is>
          <t>Space ข้างหน้า + cup ตัวพิมพ์เล็ก</t>
        </is>
      </c>
    </row>
    <row r="20">
      <c r="A20" s="2" t="inlineStr">
        <is>
          <t>HB-19</t>
        </is>
      </c>
      <c r="B20" s="2" t="inlineStr">
        <is>
          <t>2026-03-06</t>
        </is>
      </c>
      <c r="C20" s="3" t="inlineStr">
        <is>
          <t>ยำทูน่าสมุนไพรสด</t>
        </is>
      </c>
      <c r="D20" s="4">
        <f>LEN(C20)</f>
        <v/>
      </c>
      <c r="E20" s="3" t="inlineStr">
        <is>
          <t>สลัดเพื่อสุขภาพ</t>
        </is>
      </c>
      <c r="F20" s="2" t="inlineStr">
        <is>
          <t>M</t>
        </is>
      </c>
      <c r="G20" s="5" t="n">
        <v>139</v>
      </c>
      <c r="H20" s="4" t="n">
        <v>14</v>
      </c>
      <c r="I20" s="5">
        <f>G20*H20</f>
        <v/>
      </c>
      <c r="J20" s="3" t="inlineStr">
        <is>
          <t>ปกติ</t>
        </is>
      </c>
    </row>
    <row r="21">
      <c r="A21" s="2" t="inlineStr">
        <is>
          <t>HB-20</t>
        </is>
      </c>
      <c r="B21" s="2" t="inlineStr">
        <is>
          <t>2026-03-06</t>
        </is>
      </c>
      <c r="C21" s="6" t="inlineStr">
        <is>
          <t xml:space="preserve">ยำทูน่าสมุนไพรสด </t>
        </is>
      </c>
      <c r="D21" s="7">
        <f>LEN(C21)</f>
        <v/>
      </c>
      <c r="E21" s="3" t="inlineStr">
        <is>
          <t>สลัดเพื่อสุขภาพ</t>
        </is>
      </c>
      <c r="F21" s="8" t="inlineStr">
        <is>
          <t>M</t>
        </is>
      </c>
      <c r="G21" s="5" t="n">
        <v>139</v>
      </c>
      <c r="H21" s="4" t="n">
        <v>6</v>
      </c>
      <c r="I21" s="5">
        <f>G21*H21</f>
        <v/>
      </c>
      <c r="J21" s="6" t="inlineStr">
        <is>
          <t>Space ท้ายคำ</t>
        </is>
      </c>
    </row>
    <row r="22">
      <c r="A22" s="2" t="inlineStr">
        <is>
          <t>HB-21</t>
        </is>
      </c>
      <c r="B22" s="2" t="inlineStr">
        <is>
          <t>2026-03-07</t>
        </is>
      </c>
      <c r="C22" s="3" t="inlineStr">
        <is>
          <t>กรีกโยเกิร์ตผลไม้รวม</t>
        </is>
      </c>
      <c r="D22" s="4">
        <f>LEN(C22)</f>
        <v/>
      </c>
      <c r="E22" s="3" t="inlineStr">
        <is>
          <t>ของหวานเพื่อสุขภาพ</t>
        </is>
      </c>
      <c r="F22" s="2" t="inlineStr">
        <is>
          <t>Bowl</t>
        </is>
      </c>
      <c r="G22" s="5" t="n">
        <v>109</v>
      </c>
      <c r="H22" s="4" t="n">
        <v>15</v>
      </c>
      <c r="I22" s="5">
        <f>G22*H22</f>
        <v/>
      </c>
      <c r="J22" s="3" t="inlineStr">
        <is>
          <t>ปกติ</t>
        </is>
      </c>
    </row>
    <row r="23">
      <c r="A23" s="2" t="inlineStr">
        <is>
          <t>HB-22</t>
        </is>
      </c>
      <c r="B23" s="2" t="inlineStr">
        <is>
          <t>2026-03-07</t>
        </is>
      </c>
      <c r="C23" s="6" t="inlineStr">
        <is>
          <t xml:space="preserve"> กรีกโยเกิร์ตผลไม้รวม </t>
        </is>
      </c>
      <c r="D23" s="7">
        <f>LEN(C23)</f>
        <v/>
      </c>
      <c r="E23" s="3" t="inlineStr">
        <is>
          <t>ของหวานเพื่อสุขภาพ</t>
        </is>
      </c>
      <c r="F23" s="8" t="inlineStr">
        <is>
          <t>bowl</t>
        </is>
      </c>
      <c r="G23" s="5" t="n">
        <v>109</v>
      </c>
      <c r="H23" s="4" t="n">
        <v>9</v>
      </c>
      <c r="I23" s="5">
        <f>G23*H23</f>
        <v/>
      </c>
      <c r="J23" s="6" t="inlineStr">
        <is>
          <t>Space หน้าหลัง + ไซส์ bowl</t>
        </is>
      </c>
    </row>
    <row r="24">
      <c r="A24" s="2" t="inlineStr">
        <is>
          <t>HB-23</t>
        </is>
      </c>
      <c r="B24" s="2" t="inlineStr">
        <is>
          <t>2026-03-07</t>
        </is>
      </c>
      <c r="C24" s="3" t="inlineStr">
        <is>
          <t>แซนด์วิชไข่ต้มอะโวคาโด</t>
        </is>
      </c>
      <c r="D24" s="4">
        <f>LEN(C24)</f>
        <v/>
      </c>
      <c r="E24" s="3" t="inlineStr">
        <is>
          <t>อาหารคลีน</t>
        </is>
      </c>
      <c r="F24" s="2" t="inlineStr">
        <is>
          <t>Set</t>
        </is>
      </c>
      <c r="G24" s="5" t="n">
        <v>95</v>
      </c>
      <c r="H24" s="4" t="n">
        <v>11</v>
      </c>
      <c r="I24" s="5">
        <f>G24*H24</f>
        <v/>
      </c>
      <c r="J24" s="3" t="inlineStr">
        <is>
          <t>ปกติ</t>
        </is>
      </c>
    </row>
    <row r="25">
      <c r="A25" s="2" t="inlineStr">
        <is>
          <t>HB-24</t>
        </is>
      </c>
      <c r="B25" s="2" t="inlineStr">
        <is>
          <t>2026-03-07</t>
        </is>
      </c>
      <c r="C25" s="6" t="inlineStr">
        <is>
          <t>แซนด์วิชไข่ต้มอโวคาโด</t>
        </is>
      </c>
      <c r="D25" s="7">
        <f>LEN(C25)</f>
        <v/>
      </c>
      <c r="E25" s="3" t="inlineStr">
        <is>
          <t>อาหารคลีน</t>
        </is>
      </c>
      <c r="F25" s="8" t="inlineStr">
        <is>
          <t>set</t>
        </is>
      </c>
      <c r="G25" s="5" t="n">
        <v>95</v>
      </c>
      <c r="H25" s="4" t="n">
        <v>7</v>
      </c>
      <c r="I25" s="5">
        <f>G25*H25</f>
        <v/>
      </c>
      <c r="J25" s="6" t="inlineStr">
        <is>
          <t>สะกดไม่เหมือนกัน 'อโวคาโด' vs 'อะโวคาโด'</t>
        </is>
      </c>
    </row>
    <row r="26">
      <c r="A26" s="2" t="inlineStr">
        <is>
          <t>HB-25</t>
        </is>
      </c>
      <c r="B26" s="2" t="inlineStr">
        <is>
          <t>2026-03-07</t>
        </is>
      </c>
      <c r="C26" s="3" t="inlineStr">
        <is>
          <t>ข้าวยำอกไก่ย่าง</t>
        </is>
      </c>
      <c r="D26" s="4">
        <f>LEN(C26)</f>
        <v/>
      </c>
      <c r="E26" s="3" t="inlineStr">
        <is>
          <t>อาหารคลีน</t>
        </is>
      </c>
      <c r="F26" s="2" t="inlineStr">
        <is>
          <t>XL</t>
        </is>
      </c>
      <c r="G26" s="5" t="n">
        <v>149</v>
      </c>
      <c r="H26" s="4" t="n">
        <v>13</v>
      </c>
      <c r="I26" s="5">
        <f>G26*H26</f>
        <v/>
      </c>
      <c r="J26" s="3" t="inlineStr">
        <is>
          <t>ปกติ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5" customWidth="1" min="3" max="3"/>
  </cols>
  <sheetData>
    <row r="2">
      <c r="B2" s="9" t="inlineStr">
        <is>
          <t>กับดักที่ 2: ช่องว่างล่องหน &amp; คำสะกดเพี้ยน (Whitespace &amp; Typos)</t>
        </is>
      </c>
    </row>
    <row r="3">
      <c r="B3" s="10" t="inlineStr">
        <is>
          <t>ไฟล์ตัวอย่างเมนูอาหารคลีนที่ชื่อเมนูมีช่องว่างแอบแฝงและสะกดคนละแบบจน Pivot Table พัง</t>
        </is>
      </c>
    </row>
    <row r="5">
      <c r="B5" s="11" t="inlineStr">
        <is>
          <t>กับดักข้อมูลสกปรก (Dirty Data Trap):</t>
        </is>
      </c>
      <c r="C5" s="12" t="inlineStr">
        <is>
          <t>Trap 2: Whitespace &amp; Inconsistent Text</t>
        </is>
      </c>
    </row>
    <row r="6">
      <c r="B6" s="12" t="inlineStr">
        <is>
          <t>ลักษณะข้อมูลที่ไม่ถูกต้องในตารางนี้:</t>
        </is>
      </c>
      <c r="C6" s="13" t="inlineStr">
        <is>
          <t>สายตามนุษย์มองว่าเหมือนกัน แต่คอมพิวเตอร์นับจำนวนตัวอักษร (LEN) ต่างกัน ทำให้รวมกลุ่มไม่ได้</t>
        </is>
      </c>
    </row>
    <row r="8">
      <c r="B8" s="14" t="inlineStr">
        <is>
          <t>ทำไมจึงเป็นปัญหาต่อธุรกิจ? (Pain Points &amp; GIGO):</t>
        </is>
      </c>
    </row>
    <row r="9">
      <c r="B9" s="15" t="inlineStr">
        <is>
          <t>❌</t>
        </is>
      </c>
      <c r="C9" s="13" t="inlineStr">
        <is>
          <t>Pivot Table แยกแถวเมนูยอดฮิต: เมนู 'ข้าวยำอกไก่ย่าง' แตกออกเป็น 4 บรรทัด ทำให้ดูเหมือนขายไม่ดี</t>
        </is>
      </c>
    </row>
    <row r="10">
      <c r="B10" s="15" t="inlineStr">
        <is>
          <t>❌</t>
        </is>
      </c>
      <c r="C10" s="13" t="inlineStr">
        <is>
          <t>VLOOKUP ค้นหาไม่เจอ: การดึงราคาสินค้าหรือรหัสสินค้าจะส่งผลลัพธ์เป็น #N/A เพราะช่องว่างล่องหน</t>
        </is>
      </c>
    </row>
    <row r="11">
      <c r="B11" s="15" t="inlineStr">
        <is>
          <t>❌</t>
        </is>
      </c>
      <c r="C11" s="13" t="inlineStr">
        <is>
          <t>ตัวพิมพ์เล็ก/ใหญ่ (s vs S, m vs M): ระบบฐานข้อมูลมองเป็นคนละหมวดหมู่ สรุปยอดตามขนาดสินค้าไม่ได้</t>
        </is>
      </c>
    </row>
    <row r="13">
      <c r="B13" s="16" t="inlineStr">
        <is>
          <t>วิธีแก้ไขตามมาตรฐาน Session 5 (Best Practices):</t>
        </is>
      </c>
    </row>
    <row r="14">
      <c r="B14" s="15" t="inlineStr">
        <is>
          <t>✔️</t>
        </is>
      </c>
      <c r="C14" s="13" t="inlineStr">
        <is>
          <t>ใช้คำสั่ง Data &gt; Data cleanup &gt; Trim whitespace เพื่อตัดช่องว่างหัว-ท้ายออกทั้งคอลัมน์</t>
        </is>
      </c>
    </row>
    <row r="15">
      <c r="B15" s="15" t="inlineStr">
        <is>
          <t>✔️</t>
        </is>
      </c>
      <c r="C15" s="13" t="inlineStr">
        <is>
          <t>ใช้สูตร =TRIM(C2) เพื่อตัดช่องว่างหน้าหลังและยุบช่องว่างตรงกลางที่เคาะเกินให้เหลือเคาะเดียว</t>
        </is>
      </c>
    </row>
    <row r="16">
      <c r="B16" s="15" t="inlineStr">
        <is>
          <t>✔️</t>
        </is>
      </c>
      <c r="C16" s="13" t="inlineStr">
        <is>
          <t>ใช้สูตร =UPPER(F2) หรือ =PROPER(F2) ปรับขนาดตัวพิมพ์ให้สม่ำเสมอเป็นมาตรฐานเดียวกัน</t>
        </is>
      </c>
    </row>
    <row r="17">
      <c r="B17" s="15" t="inlineStr">
        <is>
          <t>✔️</t>
        </is>
      </c>
      <c r="C17" s="13" t="inlineStr">
        <is>
          <t>ใช้ Edit &gt; Find and replace (Ctrl+H) ติ๊ก 'Match entire cell contents' แก้คำสะกดผิดให้ตรงกับ Master Catalog</t>
        </is>
      </c>
    </row>
    <row r="19">
      <c r="B19" s="17" t="inlineStr">
        <is>
          <t>เครื่องมือ &amp; สูตร Google Sheets ที่ใช้:</t>
        </is>
      </c>
      <c r="C19" s="12" t="inlineStr">
        <is>
          <t>Data cleanup &gt; Trim whitespace, =TRIM(), =UPPER(), =PROPER(), Ctrl+H (Match entire cell)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2026-09-29T18:46:01Z</dcterms:created>
  <dcterms:modified xmlns:dcterms="http://purl.org/dc/terms/" xmlns:xsi="http://www.w3.org/2001/XMLSchema-instance" xsi:type="dcterms:W3CDTF">2026-09-29T18:46:01Z</dcterms:modified>
</cp:coreProperties>
</file>