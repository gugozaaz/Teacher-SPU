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session\session-04\"/>
    </mc:Choice>
  </mc:AlternateContent>
  <xr:revisionPtr revIDLastSave="0" documentId="8_{EAC33600-23BC-4EBD-AE96-2F65CDD71E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aw_data_with_all_traps" sheetId="1" r:id="rId1"/>
    <sheet name="tidy_data_solution" sheetId="2" r:id="rId2"/>
    <sheet name="tidy_transformation_log" sheetId="3" r:id="rId3"/>
    <sheet name="คำอธิบายข้อผิดพลาด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1" i="2" l="1"/>
  <c r="L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81" i="2" s="1"/>
</calcChain>
</file>

<file path=xl/sharedStrings.xml><?xml version="1.0" encoding="utf-8"?>
<sst xmlns="http://schemas.openxmlformats.org/spreadsheetml/2006/main" count="1626" uniqueCount="595">
  <si>
    <t>ข้อมูลคำสั่งซื้อและลูกค้า (Customer &amp; Date Info)</t>
  </si>
  <si>
    <t>รายการสินค้าและจำนวน (Items &amp; Pricing)</t>
  </si>
  <si>
    <t>ยอดขายแยกตามช่องทาง (Sales by Channel - Wide Format Trap)</t>
  </si>
  <si>
    <t>การประเมิน &amp; กับดักที่พบ (Audit Notes)</t>
  </si>
  <si>
    <t>วันที่ (Date)</t>
  </si>
  <si>
    <t>สาขา (Branch)</t>
  </si>
  <si>
    <t>ข้อมูลลูกค้า (Customer Info)</t>
  </si>
  <si>
    <t>เบอร์โทรศัพท์ (Phone)</t>
  </si>
  <si>
    <t>รายการสั่งซื้อในบิล (Items Ordered)</t>
  </si>
  <si>
    <t>จำนวน (Qty)</t>
  </si>
  <si>
    <t>ราคาต่อหน่วย (Unit Price)</t>
  </si>
  <si>
    <t>ยอดหน้าร้าน (Dine-in)</t>
  </si>
  <si>
    <t>ยอด GrabFood</t>
  </si>
  <si>
    <t>ยอด LINE MAN</t>
  </si>
  <si>
    <t>ยอด Robinhood</t>
  </si>
  <si>
    <t>ความพึงพอใจ (Rating)</t>
  </si>
  <si>
    <t>กับดักที่พบ (Traps_Identified)</t>
  </si>
  <si>
    <t>01/03/2026</t>
  </si>
  <si>
    <t>สยาม</t>
  </si>
  <si>
    <t>คุณเมย์ (ลูกค้าประจำ)</t>
  </si>
  <si>
    <t>081-999-1234</t>
  </si>
  <si>
    <t>เค้กส้ม 1 ปอนด์ (350 บ.) + เทียนตัวเลข 1 ชุด (25 บ.) [เขียนหน้าเค้ก: HBD น้องพลอย]</t>
  </si>
  <si>
    <t>1 ก้อน + 1 ชุด</t>
  </si>
  <si>
    <t>350 / 25</t>
  </si>
  <si>
    <t>5</t>
  </si>
  <si>
    <t>Trap 1 (หลายค่า), Trap 4 (สีเขียว), Trap 5 (ไร้ ID), Trap 6 (Wide), Trap 7 (ตัวเลขปนข้อความ)</t>
  </si>
  <si>
    <t>โต๊ะ 2 (นั่งทานที่ร้าน)</t>
  </si>
  <si>
    <t>ไม่มี</t>
  </si>
  <si>
    <t>ครัวซองต์เนยสด 2 ชิ้น + ชาไทยเย็น 1 แก้ว</t>
  </si>
  <si>
    <t>3 รายการ</t>
  </si>
  <si>
    <t>85 / 65</t>
  </si>
  <si>
    <t>ดีมาก</t>
  </si>
  <si>
    <t>Trap 1 (หลายค่า), Trap 4 (สีเขียว), Trap 5 (ไร้ ID), Trap 6 (Wide), Trap 7 (เรตติ้งข้อความ)</t>
  </si>
  <si>
    <t>คุณกานต์</t>
  </si>
  <si>
    <t>0891234567</t>
  </si>
  <si>
    <t>เค้กช็อกโกแลตหน้านิ่ม 2 ปอนด์ ส่งด่วน</t>
  </si>
  <si>
    <t>1 ก้อน</t>
  </si>
  <si>
    <t>650 บาท</t>
  </si>
  <si>
    <t>4</t>
  </si>
  <si>
    <t>Trap 4 (สีเหลือง=รอยืนยันสลิป), Trap 5 (ไร้ ID), Trap 6 (Wide), Trap 7 (หน่วย 'บาท')</t>
  </si>
  <si>
    <t>ลูกค้าหน้าร้าน</t>
  </si>
  <si>
    <t>-</t>
  </si>
  <si>
    <t>ทาร์ตไข่ฮ่องกง 4 ชิ้น</t>
  </si>
  <si>
    <t>4 ชิ้น</t>
  </si>
  <si>
    <t>45.-</t>
  </si>
  <si>
    <t>180 บาท</t>
  </si>
  <si>
    <t>Trap 4 (สีเขียว), Trap 5 (ไร้ ID), Trap 7 ('45.-', '180 บาท')</t>
  </si>
  <si>
    <t>คุณณัฐพล</t>
  </si>
  <si>
    <t>081-234-5678</t>
  </si>
  <si>
    <t>ชีสเค้กหน้าไหม้ 1 ปอนด์</t>
  </si>
  <si>
    <t>1</t>
  </si>
  <si>
    <t>590</t>
  </si>
  <si>
    <t>590 บาท</t>
  </si>
  <si>
    <t>⭐⭐⭐⭐⭐</t>
  </si>
  <si>
    <t>Trap 4 (สีเขียว), Trap 5 (ไร้ ID), Trap 6 (Wide), Trap 7 (เรตติ้งดาว)</t>
  </si>
  <si>
    <t>คุณพิมพา</t>
  </si>
  <si>
    <t>086-555-4321</t>
  </si>
  <si>
    <t>เค้กเรดเวลเวท 1 ปอนด์ (ขอเทียนฟรี)</t>
  </si>
  <si>
    <t>420</t>
  </si>
  <si>
    <t>3</t>
  </si>
  <si>
    <t>Trap 4 (สีชมพู=ลูกค้ายกเลิก/คืนเงิน), Trap 5 (ไร้ ID), Trap 6 (Wide)</t>
  </si>
  <si>
    <t>โต๊ะ 5</t>
  </si>
  <si>
    <t>ขนมปังเนยสด 2 กล่อง + กาแฟ Dirty 2 แก้ว</t>
  </si>
  <si>
    <t>65 / 95</t>
  </si>
  <si>
    <t>Trap 1 (หลายค่า), Trap 4 (สีเขียว), Trap 5 (ไร้ ID), Trap 6 (Wide)</t>
  </si>
  <si>
    <t>บจก. สยามเทรดดิ้ง (Snack Box)</t>
  </si>
  <si>
    <t>02-123-4567</t>
  </si>
  <si>
    <t>ชุดสแน็กบ็อกซ์ A (ครัวซองต์+ชาไทย) 30 ชุด</t>
  </si>
  <si>
    <t>30 ชุด</t>
  </si>
  <si>
    <t>120 บาท</t>
  </si>
  <si>
    <t>Trap 1 (ชุดรวม), Trap 4 (สีฟ้า=VIP ส่งฟรี), Trap 5 (ไร้ ID), Trap 7 (โทรศัพท์บ้าน)</t>
  </si>
  <si>
    <t>--- รวมยอดวันอาทิตย์ 01/03/2026 สาขาสยาม ---</t>
  </si>
  <si>
    <t>รวม 8 บิล (44 ชิ้น)</t>
  </si>
  <si>
    <t>Trap 2: ยอดรวมแทรกกลางแถว (Subtotal Trap ทำให้สูตร SUM คำนวณเบิ้ล)</t>
  </si>
  <si>
    <t>2026-03-02</t>
  </si>
  <si>
    <t>อารีย์</t>
  </si>
  <si>
    <t>คุณเมย์</t>
  </si>
  <si>
    <t>ช็อคโกแลตฟัดจ์ 1 ปอนด์</t>
  </si>
  <si>
    <t>Trap 4 (สีเขียว), Trap 5 (คุณเมย์คนเดิมหรือคนใหม่?), Trap 6 (Wide), Trap 7 (วันที่ ISO)</t>
  </si>
  <si>
    <t>คุณอภิสิทธิ์</t>
  </si>
  <si>
    <t>089-777-8899</t>
  </si>
  <si>
    <t>เค้กส้ม 2 ปอนด์ + เทียนวันเกิด 2 ชุด</t>
  </si>
  <si>
    <t>2 + 2</t>
  </si>
  <si>
    <t>ดี</t>
  </si>
  <si>
    <t>โต๊ะ 1</t>
  </si>
  <si>
    <t>กาแฟ Dirty 1 แก้ว + มัทฉะลาเต้ 1 แก้ว</t>
  </si>
  <si>
    <t>2 แก้ว</t>
  </si>
  <si>
    <t>95 / 85</t>
  </si>
  <si>
    <t>คุณดารินทร์</t>
  </si>
  <si>
    <t>0912345678</t>
  </si>
  <si>
    <t>ครัวซองต์เนยสด 4 ชิ้น (แพ็กคู่)</t>
  </si>
  <si>
    <t>85.-</t>
  </si>
  <si>
    <t>Trap 4 (สีเขียว), Trap 5 (ไร้ ID), Trap 6 (Wide), Trap 7 ('85.-')</t>
  </si>
  <si>
    <t>คุณเอกพล</t>
  </si>
  <si>
    <t>085-111-2233</t>
  </si>
  <si>
    <t>ชีสเค้กหน้าไหม้ 2 ปอนด์</t>
  </si>
  <si>
    <t>คุณกรรณิการ์</t>
  </si>
  <si>
    <t>081 444 5566</t>
  </si>
  <si>
    <t>ทาร์ตไข่ 6 ชิ้น (กล่องใหญ่)</t>
  </si>
  <si>
    <t>⭐⭐⭐⭐</t>
  </si>
  <si>
    <t>Trap 4 (สีเขียว), Trap 5 (ไร้ ID), Trap 6 (Wide), Trap 7 (เบอร์เว้นวรรค, เรตติ้งดาว)</t>
  </si>
  <si>
    <t>คุณทศพล</t>
  </si>
  <si>
    <t>087-888-9900</t>
  </si>
  <si>
    <t>เค้กเรดเวลเวท 1 ปอนด์ + มีดตัดเค้ก</t>
  </si>
  <si>
    <t>1 + 1</t>
  </si>
  <si>
    <t>420 / 30</t>
  </si>
  <si>
    <t>--- รวมยอดวันจันทร์ 02/03/2026 สาขาอารีย์ ---</t>
  </si>
  <si>
    <t>รวม 7 บิล (20 ชิ้น)</t>
  </si>
  <si>
    <t>Trap 2: แถวผลรวมรายวันแทรกกลางตาราง</t>
  </si>
  <si>
    <t>1 มี.ค. 69</t>
  </si>
  <si>
    <t>บางนา</t>
  </si>
  <si>
    <t>คุณชลธิชา</t>
  </si>
  <si>
    <t>084-222-3344</t>
  </si>
  <si>
    <t>เค้กส้ม 1 ปอนด์ (ไม่เอาส้มแต่งหน้า) + เทียน 1 เล่ม</t>
  </si>
  <si>
    <t>Trap 1 (หลายค่า), Trap 4 (สีเขียว), Trap 5 (ไร้ ID), Trap 6 (Wide), Trap 7 (วันที่ '1 มี.ค. 69')</t>
  </si>
  <si>
    <t>คุณธีรเดช</t>
  </si>
  <si>
    <t>0883334455</t>
  </si>
  <si>
    <t>ขนมปังเนยสด 4 กล่อง</t>
  </si>
  <si>
    <t>65 บาท</t>
  </si>
  <si>
    <t>Trap 4 (สีเขียว), Trap 5 (ไร้ ID), Trap 6 (Wide), Trap 7 ('65 บาท')</t>
  </si>
  <si>
    <t>คุณปวีณา</t>
  </si>
  <si>
    <t>082-999-0011</t>
  </si>
  <si>
    <t>เค้กช็อกโกแลตหน้านิ่ม 1 ปอนด์</t>
  </si>
  <si>
    <t>Trap 4 (สีชมพู=เค้กหน้าเละ ลูกค้าปฏิเสธรับ คืนเงิน), Trap 5 (ไร้ ID), Trap 6 (Wide)</t>
  </si>
  <si>
    <t>ลูกค้า Walk-in</t>
  </si>
  <si>
    <t>ชาไทยเย็น 2 แก้ว + ครัวซองต์ 2 ชิ้น</t>
  </si>
  <si>
    <t>65 / 85</t>
  </si>
  <si>
    <t>พอใช้</t>
  </si>
  <si>
    <t>คุณสุรชัย</t>
  </si>
  <si>
    <t>081-333-7788</t>
  </si>
  <si>
    <t>ชีสเค้กหน้าไหม้ 1 ปอนด์ + ป้าย HBD</t>
  </si>
  <si>
    <t>590 / 40</t>
  </si>
  <si>
    <t>คุณมนัสวี</t>
  </si>
  <si>
    <t>089-666-1122</t>
  </si>
  <si>
    <t>ทาร์ตไข่ 2 ชิ้น + กาแฟ Dirty 1 แก้ว</t>
  </si>
  <si>
    <t>45 / 95</t>
  </si>
  <si>
    <t>รพ. ศรีนครินทร์ (งานประชุม)</t>
  </si>
  <si>
    <t>02-999-8888</t>
  </si>
  <si>
    <t>ชุดของว่างประชุม (เค้กส้มชิ้น+ชาไทย) 50 ชุด</t>
  </si>
  <si>
    <t>90 บาท</t>
  </si>
  <si>
    <t>Trap 1 (ชุดรวม), Trap 4 (สีฟ้า=B2B วางบิลสิ้นเดือน), Trap 5 (ไร้ ID), Trap 7 (หน่วย 'บาท')</t>
  </si>
  <si>
    <t>--- รวมยอดวันอังคาร 03/03/2569 สาขาบางนา ---</t>
  </si>
  <si>
    <t>รวม 7 บิล (64 ชิ้น)</t>
  </si>
  <si>
    <t>Trap 2: ยอดรวมแทรกกลางตาราง</t>
  </si>
  <si>
    <t>04/03/2026</t>
  </si>
  <si>
    <t>เค้กเรดเวลเวท 1 ปอนด์</t>
  </si>
  <si>
    <t>Trap 4 (สีเขียว), Trap 5 (คุณเมย์ สั่งครั้งที่ 3 แต่ไม่มี ID เชื่อมโยงประวัติ), Trap 6 (Wide)</t>
  </si>
  <si>
    <t>ครัวซองต์เนยสด 6 ชิ้น</t>
  </si>
  <si>
    <t>Trap 4 (สีเขียว), Trap 5 (ไร้ ID), Trap 6 (Wide)</t>
  </si>
  <si>
    <t>เค้กส้ม 1 ปอนด์ + เทียน 1 เล่ม</t>
  </si>
  <si>
    <t>โต๊ะ 4</t>
  </si>
  <si>
    <t>มัทฉะลาเต้ 2 แก้ว + ขนมปังเนยสด 1 กล่อง</t>
  </si>
  <si>
    <t>ทาร์ตไข่ 4 ชิ้น + ชาไทยเย็น 1 แก้ว</t>
  </si>
  <si>
    <t>45 / 65</t>
  </si>
  <si>
    <t>--- รวมยอดวันพุธ 04/03/2026 ---</t>
  </si>
  <si>
    <t>รวม 6 บิล (20 ชิ้น)</t>
  </si>
  <si>
    <t>Trap 2: Subtotal แทรกลงตาราง</t>
  </si>
  <si>
    <t>05/03/2026</t>
  </si>
  <si>
    <t>ชีสเค้กหน้าไหม้ 1 ปอนด์ + กาแฟ Dirty 1 แก้ว</t>
  </si>
  <si>
    <t>2 รายการ</t>
  </si>
  <si>
    <t>590 / 95</t>
  </si>
  <si>
    <t>ลูกค้า GrabFood</t>
  </si>
  <si>
    <t>ไม่ระบุ</t>
  </si>
  <si>
    <t>ครัวซองต์เนยสด 3 ชิ้น + ชาไทยเย็น 1 แก้ว</t>
  </si>
  <si>
    <t>เค้กส้ม 1 ปอนด์ [เขียนหน้าเค้ก: ยินดีด้วยค่ะ]</t>
  </si>
  <si>
    <t>350 บาท</t>
  </si>
  <si>
    <t>Trap 4 (สีเขียว), Trap 5 (ไร้ ID), Trap 6 (Wide), Trap 7 (หน่วย 'บาท')</t>
  </si>
  <si>
    <t>คุณวิเชียร</t>
  </si>
  <si>
    <t>081-456-7890</t>
  </si>
  <si>
    <t>ทาร์ตไข่ 12 ชิ้น (2 กล่อง)</t>
  </si>
  <si>
    <t>Trap 4 (สีเขียว), Trap 5 (ไร้ ID), Trap 6 (Wide), Trap 7 ('45.-')</t>
  </si>
  <si>
    <t>คุณนภัสสร</t>
  </si>
  <si>
    <t>083-112-2334</t>
  </si>
  <si>
    <t>เค้กช็อกโกแลตหน้านิ่ม 2 ปอนด์ + เทียนตัวเลข 2 ชุด</t>
  </si>
  <si>
    <t>1 + 2</t>
  </si>
  <si>
    <t>650 / 25</t>
  </si>
  <si>
    <t>Trap 1 (หลายค่า), Trap 4 (สีเหลือง=รอยืนยันสลิป), Trap 5 (ไร้ ID)</t>
  </si>
  <si>
    <t>โต๊ะ 3</t>
  </si>
  <si>
    <t>ขนมปังเนยสด 1 กล่อง + ชาเขียวมัทฉะ 1 แก้ว</t>
  </si>
  <si>
    <t>--- รวมยอดวันพฤหัสบดี 05/03/2026 ---</t>
  </si>
  <si>
    <t>รวม 6 บิล (23 ชิ้น)</t>
  </si>
  <si>
    <t>06/03/2026</t>
  </si>
  <si>
    <t>บจก. คอนซัลติ้ง พลัส</t>
  </si>
  <si>
    <t>02-678-9900</t>
  </si>
  <si>
    <t>ชุดสแน็กบ็อกซ์ B (เค้กส้ม+กาแฟ) 40 ชุด</t>
  </si>
  <si>
    <t>110 บาท</t>
  </si>
  <si>
    <t>Trap 1 (ชุดรวม), Trap 4 (สีฟ้า=B2B วางบิลสิ้นเดือน), Trap 5 (ไร้ ID)</t>
  </si>
  <si>
    <t>Trap 4 (สีเขียว), Trap 5 (คุณเมย์ สั่งครั้งที่ 4!), Trap 6 (Wide)</t>
  </si>
  <si>
    <t>ครัวซองต์เนยสด 8 ชิ้น (จัดเลี้ยงบ่าย)</t>
  </si>
  <si>
    <t>85 บาท</t>
  </si>
  <si>
    <t>Trap 4 (สีเขียว), Trap 5 (ไร้ ID), Trap 6 (Wide), Trap 7 ('85 บาท')</t>
  </si>
  <si>
    <t>เค้กเรดเวลเวท 2 ปอนด์ + ป้าย HBD</t>
  </si>
  <si>
    <t>750 / 40</t>
  </si>
  <si>
    <t>คุณอารียา</t>
  </si>
  <si>
    <t>089-001-2233</t>
  </si>
  <si>
    <t>เค้กส้ม 1 ปอนด์</t>
  </si>
  <si>
    <t>Trap 4 (สีชมพู=จัดส่งผิดบ้าน ลูกค้ากดยกเลิก คืนเงิน), Trap 5 (ไร้ ID)</t>
  </si>
  <si>
    <t>ทาร์ตไข่ 8 ชิ้น + กาแฟ Dirty 2 แก้ว</t>
  </si>
  <si>
    <t>--- รวมยอดวันศุกร์ 06/03/2026 ---</t>
  </si>
  <si>
    <t>รวม 6 บิล (61 ชิ้น)</t>
  </si>
  <si>
    <t>07/03/2026</t>
  </si>
  <si>
    <t>เค้กช็อกโกแลตฟัดจ์ 1 ปอนด์ + เทียน 1 ชุด</t>
  </si>
  <si>
    <t>ครัวซองต์ 2 ชิ้น + ชาไทยเย็น 2 แก้ว</t>
  </si>
  <si>
    <t>คุณชวลิต</t>
  </si>
  <si>
    <t>085-998-8776</t>
  </si>
  <si>
    <t>เค้กส้ม 2 ปอนด์</t>
  </si>
  <si>
    <t>ทาร์ตไข่ 6 ชิ้น + ชาเขียวมัทฉะ 2 แก้ว</t>
  </si>
  <si>
    <t>45 / 85</t>
  </si>
  <si>
    <t>--- รวมยอดวันเสาร์ 07/03/2026 ---</t>
  </si>
  <si>
    <t>รวม 7 บิล (28 ชิ้น)</t>
  </si>
  <si>
    <t>08/03/2026</t>
  </si>
  <si>
    <t>คุณวรินทร</t>
  </si>
  <si>
    <t>089-445-5667</t>
  </si>
  <si>
    <t>เค้กส้ม 1 ปอนด์ + เทียนตัวเลข 1 ชุด</t>
  </si>
  <si>
    <t>ครัวซองต์เนยสด 4 ชิ้น + Dirty 2 แก้ว</t>
  </si>
  <si>
    <t>85 / 95</t>
  </si>
  <si>
    <t>ลูกค้า LINE MAN</t>
  </si>
  <si>
    <t>ทาร์ตไข่ 4 ชิ้น</t>
  </si>
  <si>
    <t>เค้กช็อกโกแลตฟัดจ์ 1 ปอนด์</t>
  </si>
  <si>
    <t>โต๊ะ 2</t>
  </si>
  <si>
    <t>ขนมปังเนยสด 2 กล่อง + ชาไทย 2 แก้ว</t>
  </si>
  <si>
    <t>65 / 65</t>
  </si>
  <si>
    <t>--- รวมยอดวันอาทิตย์ 08/03/2026 ---</t>
  </si>
  <si>
    <t>รวม 6 บิล (22 ชิ้น)</t>
  </si>
  <si>
    <t>รวม 52 ออเดอร์ (282 รายการ)</t>
  </si>
  <si>
    <t>Trap 2: ยอดรวมระดับ Grand Total แทรกลงมาในชีตข้อมูลดิบ (อันตรายที่สุด! สูตร SUM จะนับเบิ้ล)</t>
  </si>
  <si>
    <t>Order_ID</t>
  </si>
  <si>
    <t>Order_Date</t>
  </si>
  <si>
    <t>Branch_ID</t>
  </si>
  <si>
    <t>Branch_Name</t>
  </si>
  <si>
    <t>Customer_ID</t>
  </si>
  <si>
    <t>Customer_Name</t>
  </si>
  <si>
    <t>Customer_Phone</t>
  </si>
  <si>
    <t>Sales_Channel</t>
  </si>
  <si>
    <t>Item_Seq</t>
  </si>
  <si>
    <t>Product_Category</t>
  </si>
  <si>
    <t>Product_Name</t>
  </si>
  <si>
    <t>Quantity</t>
  </si>
  <si>
    <t>Unit_Price</t>
  </si>
  <si>
    <t>Total_Amount</t>
  </si>
  <si>
    <t>Order_Status</t>
  </si>
  <si>
    <t>Customer_Rating</t>
  </si>
  <si>
    <t>Special_Notes</t>
  </si>
  <si>
    <t>Tidy_Transformations_Applied</t>
  </si>
  <si>
    <t>ORD-260301-001</t>
  </si>
  <si>
    <t>2026-03-01</t>
  </si>
  <si>
    <t>BR-01</t>
  </si>
  <si>
    <t>สาขาสยาม</t>
  </si>
  <si>
    <t>CUST-1001</t>
  </si>
  <si>
    <t>คุณเมย์ รัตนสกุล</t>
  </si>
  <si>
    <t>0819991234</t>
  </si>
  <si>
    <t>LINE MAN</t>
  </si>
  <si>
    <t>เค้กและเบเกอรี่</t>
  </si>
  <si>
    <t>เค้กส้มหน้านิ่ม 1 ปอนด์</t>
  </si>
  <si>
    <t>จัดส่งสำเร็จ</t>
  </si>
  <si>
    <t>เขียนหน้าเค้ก: HBD น้องพลอย</t>
  </si>
  <si>
    <t>แยกรายการเป็น 1 แถว/สินค้า; แปลงสีเป็นสถานะ 'จัดส่งสำเร็จ'; กำหนด Order_ID &amp; Customer_ID</t>
  </si>
  <si>
    <t>อุปกรณ์จัดงาน</t>
  </si>
  <si>
    <t>เทียนวันเกิดตัวเลขสีทอง</t>
  </si>
  <si>
    <t>แถมไม้ขีดไฟ</t>
  </si>
  <si>
    <t>แยกรายการเป็น 1 แถว/สินค้า; รวมบิลเดียวกันด้วย Order_ID เดียวกัน</t>
  </si>
  <si>
    <t>ORD-260301-002</t>
  </si>
  <si>
    <t>CUST-0002</t>
  </si>
  <si>
    <t>ลูกค้าหน้าร้าน (โต๊ะ 2)</t>
  </si>
  <si>
    <t>หน้าร้าน (Dine-in)</t>
  </si>
  <si>
    <t>ครัวซองต์เนยสดฝรั่งเศส</t>
  </si>
  <si>
    <t>อุ่นร้อนก่อนเสิร์ฟ</t>
  </si>
  <si>
    <t>แยกหลายค่าในเซลล์เดียว; แปลงเรตติ้ง 'ดีมาก' -&gt; 5; Unpivot ยอดหน้าร้านสู่คอลัมน์ Channel</t>
  </si>
  <si>
    <t>เครื่องดื่ม</t>
  </si>
  <si>
    <t>ชาไทยเย็นโบราณ</t>
  </si>
  <si>
    <t>หวานปกติ</t>
  </si>
  <si>
    <t>แยกสินค้าเครื่องดื่มออกมาเป็นอีกแถวสังเกตการณ์ (Row observation)</t>
  </si>
  <si>
    <t>ORD-260301-003</t>
  </si>
  <si>
    <t>CUST-1002</t>
  </si>
  <si>
    <t>คุณกานต์ สิทธิชัย</t>
  </si>
  <si>
    <t>GrabFood</t>
  </si>
  <si>
    <t>เค้กช็อกโกแลตฟัดจ์ 2 ปอนด์</t>
  </si>
  <si>
    <t>รอยืนยันสลิป</t>
  </si>
  <si>
    <t>ส่งด่วนช่วงบ่าย</t>
  </si>
  <si>
    <t>ดึงสถานะจากสีเหลืองสู่คอลัมน์ Order_Status; ตัดคำว่า 'บาท' ให้เป็นตัวเลขคำนวณได้</t>
  </si>
  <si>
    <t>ORD-260301-004</t>
  </si>
  <si>
    <t>CUST-0001</t>
  </si>
  <si>
    <t>ลูกค้าหน้าร้านทั่วไป</t>
  </si>
  <si>
    <t>หน้าร้าน (Takeaway)</t>
  </si>
  <si>
    <t>ทาร์ตไข่ฮ่องกง</t>
  </si>
  <si>
    <t>แปลง '45.-' เป็นตัวเลข 45; ใส่ Customer_ID มาตรฐานลูกค้าทั่วไป</t>
  </si>
  <si>
    <t>ORD-260301-005</t>
  </si>
  <si>
    <t>CUST-1003</t>
  </si>
  <si>
    <t>คุณณัฐพล ใจซื่อ</t>
  </si>
  <si>
    <t>0812345678</t>
  </si>
  <si>
    <t>Robinhood</t>
  </si>
  <si>
    <t>ชีสเค้กหน้าไหม้ Basque 1 ปอนด์</t>
  </si>
  <si>
    <t>ขอการ์ดอวยพร</t>
  </si>
  <si>
    <t>แปลงเรตติ้งดาว ⭐⭐⭐⭐⭐ เป็นตัวเลข 5; Unpivot ยอด Robinhood</t>
  </si>
  <si>
    <t>ORD-260301-006</t>
  </si>
  <si>
    <t>CUST-1004</t>
  </si>
  <si>
    <t>คุณพิมพา มีสุข</t>
  </si>
  <si>
    <t>0865554321</t>
  </si>
  <si>
    <t>ยกเลิก/คืนเงิน</t>
  </si>
  <si>
    <t>ขอเทียนฟรี แต่ลูกค้ายกเลิกคำสั่งซื้อ</t>
  </si>
  <si>
    <t>ดึงสถานะสีชมพูเป็น 'ยกเลิก/คืนเงิน'; บันทึกเพื่อวิเคราะห์สาเหตุการหลุดของลูกค้า</t>
  </si>
  <si>
    <t>ORD-260301-007</t>
  </si>
  <si>
    <t>CUST-0005</t>
  </si>
  <si>
    <t>ลูกค้าหน้าร้าน (โต๊ะ 5)</t>
  </si>
  <si>
    <t>ขนมปังเนยสดน้ำตาลไอซิ่ง</t>
  </si>
  <si>
    <t>แยกหลายค่าเป็น 2 แถว</t>
  </si>
  <si>
    <t>กาแฟสด Dirty Coffee</t>
  </si>
  <si>
    <t>เสิร์ฟพร้อมน้ำเย็น</t>
  </si>
  <si>
    <t>แยกเครื่องดื่มเป็นแถวที่ 2</t>
  </si>
  <si>
    <t>ORD-260301-008</t>
  </si>
  <si>
    <t>CUST-2001</t>
  </si>
  <si>
    <t>บจก. สยามเทรดดิ้ง มาร์ท</t>
  </si>
  <si>
    <t>021234567</t>
  </si>
  <si>
    <t>B2B Catering</t>
  </si>
  <si>
    <t>ชุดของว่าง</t>
  </si>
  <si>
    <t>ชุดสแน็กบ็อกซ์ A (ครัวซองต์+ชาไทย)</t>
  </si>
  <si>
    <t>ออเดอร์ VIP / ส่งฟรี</t>
  </si>
  <si>
    <t>ส่งห้องประชุมชั้น 8 วางบิลสิ้นเดือน</t>
  </si>
  <si>
    <t>แปลงสีฟ้าเป็นสถานะ 'ออเดอร์ VIP / ส่งฟรี'; แปลงช่องทางเป็น B2B Catering</t>
  </si>
  <si>
    <t>ORD-260302-009</t>
  </si>
  <si>
    <t>BR-02</t>
  </si>
  <si>
    <t>สาขาอารีย์</t>
  </si>
  <si>
    <t>หวานน้อย</t>
  </si>
  <si>
    <t>เชื่อมโยง Customer_ID CUST-1001 ชี้ให้เห็นว่าคุณเมย์ซื้อซ้ำต่างสาขาได้ถูกต้อง!</t>
  </si>
  <si>
    <t>ORD-260302-010</t>
  </si>
  <si>
    <t>CUST-1005</t>
  </si>
  <si>
    <t>คุณอภิสิทธิ์ วงศ์สว่าง</t>
  </si>
  <si>
    <t>0897778899</t>
  </si>
  <si>
    <t>แยกรายการเค้กส้ม</t>
  </si>
  <si>
    <t>แยกรายการเทียนวันเกิด</t>
  </si>
  <si>
    <t>ORD-260302-011</t>
  </si>
  <si>
    <t>ลูกค้าหน้าร้าน (โต๊ะ 1)</t>
  </si>
  <si>
    <t>แยกหลายค่าในเซลล์เดียว</t>
  </si>
  <si>
    <t>ชาเขียวมัทฉะลาเต้</t>
  </si>
  <si>
    <t>หวานน้อย 50%</t>
  </si>
  <si>
    <t>แยกเครื่องดื่มเป็นแถวใหม่</t>
  </si>
  <si>
    <t>ORD-260302-012</t>
  </si>
  <si>
    <t>CUST-1006</t>
  </si>
  <si>
    <t>คุณดารินทร์ ธนะโชติ</t>
  </si>
  <si>
    <t>แพ็กแยกกล่องละ 2 ชิ้น</t>
  </si>
  <si>
    <t>แปลง '85.-' เป็นตัวเลข 85</t>
  </si>
  <si>
    <t>ORD-260302-013</t>
  </si>
  <si>
    <t>CUST-1007</t>
  </si>
  <si>
    <t>คุณเอกพล ยิ่งยืน</t>
  </si>
  <si>
    <t>0851112233</t>
  </si>
  <si>
    <t>ติดโบขอบคุณ</t>
  </si>
  <si>
    <t>แปลงสีเหลืองเป็น 'รอยืนยันสลิป'; ตัดคำว่า 'บาท'</t>
  </si>
  <si>
    <t>ORD-260302-014</t>
  </si>
  <si>
    <t>CUST-1008</t>
  </si>
  <si>
    <t>คุณกรรณิการ์ บุญเรือง</t>
  </si>
  <si>
    <t>0814445566</t>
  </si>
  <si>
    <t>ใส่กล่องของขวัญ</t>
  </si>
  <si>
    <t>แปลงเบอร์เว้นวรรคเป็น 0814445566; แปลงเรตติ้งดาวเป็นตัวเลข 4</t>
  </si>
  <si>
    <t>ORD-260302-015</t>
  </si>
  <si>
    <t>CUST-1009</t>
  </si>
  <si>
    <t>คุณทศพล สุวรรณการ</t>
  </si>
  <si>
    <t>0878889900</t>
  </si>
  <si>
    <t>แยกรายการเค้ก</t>
  </si>
  <si>
    <t>มีดตัดเค้กและจานกระดาษ</t>
  </si>
  <si>
    <t>แยกรายการมีดตัดเค้ก</t>
  </si>
  <si>
    <t>ORD-260303-016</t>
  </si>
  <si>
    <t>2026-03-03</t>
  </si>
  <si>
    <t>BR-03</t>
  </si>
  <si>
    <t>สาขาบางนา</t>
  </si>
  <si>
    <t>CUST-1010</t>
  </si>
  <si>
    <t>คุณชลธิชา มั่นคง</t>
  </si>
  <si>
    <t>0842223344</t>
  </si>
  <si>
    <t>ไม่เอาส้มแต่งหน้า</t>
  </si>
  <si>
    <t>แปลงวันที่ พ.ศ. '1 มี.ค. 69' เป็น '2026-03-03' สากล</t>
  </si>
  <si>
    <t>แยกรายการเทียน</t>
  </si>
  <si>
    <t>ORD-260303-017</t>
  </si>
  <si>
    <t>CUST-1011</t>
  </si>
  <si>
    <t>คุณธีรเดช พัฒนศิลป์</t>
  </si>
  <si>
    <t>แปลงวันที่เป็น ISO; ตัดคำว่า 'บาท'</t>
  </si>
  <si>
    <t>ORD-260303-018</t>
  </si>
  <si>
    <t>CUST-1012</t>
  </si>
  <si>
    <t>คุณปวีณา วิเศษสมบัติ</t>
  </si>
  <si>
    <t>0829990011</t>
  </si>
  <si>
    <t>เค้กหน้าเละระหว่างขนส่ง ลูกค้าปฏิเสธรับ</t>
  </si>
  <si>
    <t>ดึงสถานะสีชมพูเป็น 'ยกเลิก/คืนเงิน'; บันทึกคะแนน 1 ดาวเพื่อติดตามคุณภาพไรเดอร์</t>
  </si>
  <si>
    <t>ORD-260303-019</t>
  </si>
  <si>
    <t>แปลง 'พอใช้' เป็นเรตติ้ง 3</t>
  </si>
  <si>
    <t>แยกสินค้าเป็นแถวเดี่ยว</t>
  </si>
  <si>
    <t>ORD-260303-020</t>
  </si>
  <si>
    <t>CUST-1013</t>
  </si>
  <si>
    <t>คุณสุรชัย เด่นดวง</t>
  </si>
  <si>
    <t>0813337788</t>
  </si>
  <si>
    <t>แปลงเรตติ้ง 'ดีมาก' -&gt; 5</t>
  </si>
  <si>
    <t>ป้าย HBD อะคริลิกสีทอง</t>
  </si>
  <si>
    <t>แยกป้าย HBD</t>
  </si>
  <si>
    <t>ORD-260303-021</t>
  </si>
  <si>
    <t>CUST-1014</t>
  </si>
  <si>
    <t>คุณมนัสวี เกษมสุข</t>
  </si>
  <si>
    <t>0896661122</t>
  </si>
  <si>
    <t>แยกหลายค่าในช่องเดียว</t>
  </si>
  <si>
    <t>แยกเครื่องดื่มเป็นอีกแถว</t>
  </si>
  <si>
    <t>ORD-260303-022</t>
  </si>
  <si>
    <t>CUST-2002</t>
  </si>
  <si>
    <t>โรงพยาบาลศรีนครินทร์ (แผนกจัดประชุม)</t>
  </si>
  <si>
    <t>029998888</t>
  </si>
  <si>
    <t>ชุดของว่างประชุม (เค้กส้มชิ้น+ชาไทย)</t>
  </si>
  <si>
    <t>ส่งตึกอำนวยการชั้น 3 วางบิลสิ้นเดือน</t>
  </si>
  <si>
    <t>แปลงสีฟ้าเป็น VIP ส่งฟรี; แปลงเป็น B2B Catering</t>
  </si>
  <si>
    <t>ORD-260304-023</t>
  </si>
  <si>
    <t>2026-03-04</t>
  </si>
  <si>
    <t>ยืนยันการซื้อซ้ำครั้งที่ 3 ของ CUST-1001 ได้ทันทีผ่าน Customer_ID</t>
  </si>
  <si>
    <t>ORD-260304-024</t>
  </si>
  <si>
    <t>เชื่อมโยงข้อมูลกับประวัติ CUST-1002</t>
  </si>
  <si>
    <t>ORD-260304-025</t>
  </si>
  <si>
    <t>ORD-260304-026</t>
  </si>
  <si>
    <t>CUST-0004</t>
  </si>
  <si>
    <t>ลูกค้าหน้าร้าน (โต๊ะ 4)</t>
  </si>
  <si>
    <t>แยกเครื่องดื่ม</t>
  </si>
  <si>
    <t>แยกขนมปัง</t>
  </si>
  <si>
    <t>ORD-260304-027</t>
  </si>
  <si>
    <t>เชื่อมโยงประวัติ CUST-1011</t>
  </si>
  <si>
    <t>ORD-260304-028</t>
  </si>
  <si>
    <t>ซื้อซ่อมหลังจากรอบที่แล้วเค้กเละ</t>
  </si>
  <si>
    <t>ลูกค้ากลับมาซื้อใหม่ ให้ 5 ดาวหลังจากร้านรับผิดชอบเคลมเงินคืน</t>
  </si>
  <si>
    <t>แยกเครื่องดื่มเป็นแถวเดี่ยว</t>
  </si>
  <si>
    <t>ORD-260305-029</t>
  </si>
  <si>
    <t>2026-03-05</t>
  </si>
  <si>
    <t>ORD-260305-030</t>
  </si>
  <si>
    <t>ลูกค้า GrabFood ทั่วไป</t>
  </si>
  <si>
    <t>แยกสินค้า</t>
  </si>
  <si>
    <t>ORD-260305-031</t>
  </si>
  <si>
    <t>เขียนหน้าเค้ก: ยินดีด้วยค่ะ</t>
  </si>
  <si>
    <t>ตัดคำว่า 'บาท'</t>
  </si>
  <si>
    <t>ORD-260305-032</t>
  </si>
  <si>
    <t>CUST-1015</t>
  </si>
  <si>
    <t>คุณวิเชียร สุรศักดิ์</t>
  </si>
  <si>
    <t>0814567890</t>
  </si>
  <si>
    <t>จัด 2 กล่องใหญ่</t>
  </si>
  <si>
    <t>แปลง '45.-' เป็นตัวเลข 45</t>
  </si>
  <si>
    <t>ORD-260305-033</t>
  </si>
  <si>
    <t>CUST-1016</t>
  </si>
  <si>
    <t>คุณนภัสสร รักษ์ดี</t>
  </si>
  <si>
    <t>0831122334</t>
  </si>
  <si>
    <t>แปลงสีเหลืองเป็น 'รอยืนยันสลิป'</t>
  </si>
  <si>
    <t>ORD-260305-034</t>
  </si>
  <si>
    <t>CUST-0003</t>
  </si>
  <si>
    <t>ลูกค้าหน้าร้าน (โต๊ะ 3)</t>
  </si>
  <si>
    <t>แยกหลายค่า</t>
  </si>
  <si>
    <t>ORD-260306-035</t>
  </si>
  <si>
    <t>2026-03-06</t>
  </si>
  <si>
    <t>CUST-2003</t>
  </si>
  <si>
    <t>026789900</t>
  </si>
  <si>
    <t>ชุดสแน็กบ็อกซ์ B (เค้กส้ม+กาแฟ)</t>
  </si>
  <si>
    <t>วางบิลสิ้นเดือน</t>
  </si>
  <si>
    <t>แปลงสีฟ้าเป็น 'ออเดอร์ VIP / ส่งฟรี'</t>
  </si>
  <si>
    <t>ORD-260306-036</t>
  </si>
  <si>
    <t>การสั่งครั้งที่ 4 ของ CUST-1001</t>
  </si>
  <si>
    <t>ORD-260306-037</t>
  </si>
  <si>
    <t>จัดเลี้ยงบ่าย</t>
  </si>
  <si>
    <t>ORD-260306-038</t>
  </si>
  <si>
    <t>เค้กเรดเวลเวท 2 ปอนด์</t>
  </si>
  <si>
    <t>ORD-260306-039</t>
  </si>
  <si>
    <t>CUST-1017</t>
  </si>
  <si>
    <t>คุณอารียา โสภณ</t>
  </si>
  <si>
    <t>0890012233</t>
  </si>
  <si>
    <t>จัดส่งผิดบ้าน ลูกค้ากดยกเลิก</t>
  </si>
  <si>
    <t>ดึงสถานะสีชมพูเป็น 'ยกเลิก/คืนเงิน'</t>
  </si>
  <si>
    <t>ORD-260306-040</t>
  </si>
  <si>
    <t>ORD-260307-041</t>
  </si>
  <si>
    <t>2026-03-07</t>
  </si>
  <si>
    <t>แยกเทียน</t>
  </si>
  <si>
    <t>ORD-260307-042</t>
  </si>
  <si>
    <t>ORD-260307-043</t>
  </si>
  <si>
    <t>CUST-1018</t>
  </si>
  <si>
    <t>คุณชวลิต รุ่งเรือง</t>
  </si>
  <si>
    <t>0859988776</t>
  </si>
  <si>
    <t>ชีสเค้กหน้าไหม้ Basque 2 ปอนด์</t>
  </si>
  <si>
    <t>ORD-260307-044</t>
  </si>
  <si>
    <t>การสั่งครั้งที่ 3 ของ CUST-1004</t>
  </si>
  <si>
    <t>ORD-260307-045</t>
  </si>
  <si>
    <t>แยกมีดตัดเค้ก</t>
  </si>
  <si>
    <t>ORD-260307-046</t>
  </si>
  <si>
    <t>เค้กส้มหน้านิ่ม 2 ปอนด์</t>
  </si>
  <si>
    <t>คำนวณ 2 ปอนด์ = 700 บ.</t>
  </si>
  <si>
    <t>ORD-260307-047</t>
  </si>
  <si>
    <t>ORD-260308-048</t>
  </si>
  <si>
    <t>2026-03-08</t>
  </si>
  <si>
    <t>การสั่งครั้งที่ 2 ของ CUST-1013</t>
  </si>
  <si>
    <t>ORD-260308-049</t>
  </si>
  <si>
    <t>CUST-1019</t>
  </si>
  <si>
    <t>คุณวรินทร จิรภัทร</t>
  </si>
  <si>
    <t>0894455667</t>
  </si>
  <si>
    <t>ORD-260308-050</t>
  </si>
  <si>
    <t>ORD-260308-051</t>
  </si>
  <si>
    <t>ลูกค้า LINE MAN ทั่วไป</t>
  </si>
  <si>
    <t>Unpivot ช่องทาง</t>
  </si>
  <si>
    <t>ORD-260308-052</t>
  </si>
  <si>
    <t>ORD-260308-053</t>
  </si>
  <si>
    <t>รวมยอดขายทั้งหมด (คำนวณผ่านสูตรอัตโนมัติ ไม่แทรกกลางแถวข้อมูล)</t>
  </si>
  <si>
    <t>79 รายการ</t>
  </si>
  <si>
    <t>สมบูรณ์ตาม 3 กฎเหล็ก Tidy Data 100%</t>
  </si>
  <si>
    <t>พร้อมป้อนเข้า Pivot Table &amp; Dashboard</t>
  </si>
  <si>
    <t>Log_ID</t>
  </si>
  <si>
    <t>Timestamp</t>
  </si>
  <si>
    <t>Target_Column_Area</t>
  </si>
  <si>
    <t>Messy_Trap_Addressed</t>
  </si>
  <si>
    <t>Tool_Technique_Used</t>
  </si>
  <si>
    <t>Before_Condition (Messy)</t>
  </si>
  <si>
    <t>After_Condition (Tidy)</t>
  </si>
  <si>
    <t>Operator</t>
  </si>
  <si>
    <t>Verification_Result</t>
  </si>
  <si>
    <t>LOG-01</t>
  </si>
  <si>
    <t>2026-03-23 09:15</t>
  </si>
  <si>
    <t>Items Ordered (Col E)</t>
  </si>
  <si>
    <t>Trap 1: Multiple values per cell (หลายค่าในเซลล์เดียว)</t>
  </si>
  <si>
    <t>Data &gt; Split text to columns &amp; การแยกแถวสังเกตการณ์</t>
  </si>
  <si>
    <t>ใน 1 ช่องมีทั้งชื่อเค้ก, ไซส์ปอนด์, ราคา, เทียน, และข้อความอวยพรรวมกัน</t>
  </si>
  <si>
    <t>แยกเป็น 1 แถวต่อ 1 สินค้า พร้อมคอลัมน์ Quantity, Unit_Price และ Special_Notes เดี่ยวๆ</t>
  </si>
  <si>
    <t>ปังปอนด์ (Data Architect)</t>
  </si>
  <si>
    <t>ผ่านเกณฑ์กฎข้อที่ 3: แต่ละเซลล์เก็บค่าเดี่ยว (Single value) สูตร SUM ทำงานได้</t>
  </si>
  <si>
    <t>LOG-02</t>
  </si>
  <si>
    <t>2026-03-23 09:30</t>
  </si>
  <si>
    <t>Data Rows (Interspersed)</t>
  </si>
  <si>
    <t>Trap 2: Subtotals in rows (ยอดรวมแทรกกลางตาราง)</t>
  </si>
  <si>
    <t>Data &gt; Create a Filter &gt; กรองคำว่า '--- รวมยอด ---' แล้ว Delete Rows</t>
  </si>
  <si>
    <t>มีแถวยอดรวมรายวัน/รายสาขาแทรกอยู่ระหว่างรายการ ทำให้คำนวณเบิ้ล (Double-counting)</t>
  </si>
  <si>
    <t>ลบแถว Subtotals ออกทั้งหมด แล้วใช้ฟังก์ชัน SUM / Pivot Table สรุปผลแทน</t>
  </si>
  <si>
    <t>อาจารย์สุรชัย (Facilitator)</t>
  </si>
  <si>
    <t>ยอดขายสุทธิถูกต้องแม่นยำ ไม่มียอดพองเกินจริง 2 เท่า</t>
  </si>
  <si>
    <t>LOG-03</t>
  </si>
  <si>
    <t>2026-03-23 09:45</t>
  </si>
  <si>
    <t>Customer Info, Date (Col A-D)</t>
  </si>
  <si>
    <t>Trap 3: Merged cells &amp; multi-level headers (เซลล์ผสานและหัวซ้อน)</t>
  </si>
  <si>
    <t>Format &gt; Merge cells &gt; Unmerge และใช้สูตรเติมเต็มช่องว่าง (Fill Down)</t>
  </si>
  <si>
    <t>หัวตาราง 2 ชั้น และมีเซลล์ผสานวันที่/ลูกค้าแนวตั้ง ทำให้เซลล์แถวล่างกลายเป็นค่าว่าง</t>
  </si>
  <si>
    <t>หัวตารางบรรทัดเดียวมาตรฐาน และเติมข้อมูล Date, Branch, Customer ครบทุกแถว</t>
  </si>
  <si>
    <t>เมย์ (Form Builder)</t>
  </si>
  <si>
    <t>ผ่านเกณฑ์กฎข้อที่ 1 และ 2: ไม่มีค่าว่างแฝงจากการผสานเซลล์</t>
  </si>
  <si>
    <t>LOG-04</t>
  </si>
  <si>
    <t>2026-03-23 10:00</t>
  </si>
  <si>
    <t>Row Colors (Green, Yellow, Pink, Blue)</t>
  </si>
  <si>
    <t>Trap 4: Color as data (การใช้สีแทนข้อมูล)</t>
  </si>
  <si>
    <t>Filter by Color &gt; สร้างคอลัมน์ 'Order_Status' และ 'Customer_Tier'</t>
  </si>
  <si>
    <t>สถานะการจ่ายเงินและการยกเลิกถูกระบุด้วยสีพื้นหลังเซลล์ ซึ่ง AI และสูตร Excel อ่านไม่ได้</t>
  </si>
  <si>
    <t>สร้างคอลัมน์ Order_Status เป็นข้อความ ('จัดส่งสำเร็จ', 'รอยืนยันสลิป', 'ยกเลิก/คืนเงิน')</t>
  </si>
  <si>
    <t>กานต์ (Dictionary Author)</t>
  </si>
  <si>
    <t>ตัวแปรมีสถานะเป็นคอลัมน์ชัดเจนตามกฎข้อที่ 1 กรองและนับจำนวนด้วย COUNTIF ได้ทันที</t>
  </si>
  <si>
    <t>LOG-05</t>
  </si>
  <si>
    <t>2026-03-23 10:15</t>
  </si>
  <si>
    <t>Customer Info (Col C)</t>
  </si>
  <si>
    <t>Trap 5: Missing unique ID (ขาดรหัสกำกับเฉพาะ)</t>
  </si>
  <si>
    <t>สร้างรหัสเฉพาะด้วยสูตร ORD-YYYYMMDD-XXX และ CUST-XXXX</t>
  </si>
  <si>
    <t>ระบุเพียง 'คุณเมย์', 'โต๊ะ 2', 'ลูกค้าหน้าร้าน' ทำให้ไม่รู้ว่าคุณเมย์สาขา 1 กับสาขา 2 คือคนเดียวกันหรือไม่</t>
  </si>
  <si>
    <t>มี Order_ID กำกับทุกบิล และ Customer_ID เชื่อมโยงลูกค้าประจำ ทำให้เห็นประวัติการซื้อซ้ำ</t>
  </si>
  <si>
    <t>สามารถนำไป JOIN ข้ามตาราง CRM และระบบบัญชีได้ 100%</t>
  </si>
  <si>
    <t>LOG-06</t>
  </si>
  <si>
    <t>2026-03-23 10:30</t>
  </si>
  <si>
    <t>Channel Columns (Col H-K)</t>
  </si>
  <si>
    <t>Trap 6: Wide format trap (ตารางแนวนอนที่นำตัวแปรไปเป็นหัวตาราง)</t>
  </si>
  <si>
    <t>Data Reshape / Unpivot (Melt) รวมคอลัมน์ช่องทาง</t>
  </si>
  <si>
    <t>แยกเป็น 4 คอลัมน์ (ยอดหน้าร้าน, Grab, LINE MAN, Robinhood) ทำให้ตารางแผ่ออกข้าง</t>
  </si>
  <si>
    <t>ยุบรวมเหลือ 1 คอลัมน์ตัวแปรชื่อ 'Sales_Channel' และ 1 คอลัมน์ 'Total_Amount' (Long Format)</t>
  </si>
  <si>
    <t>สร้าง Pivot Table เปรียบเทียบสัดส่วนยอดขายระหว่างช่องทางได้ใน 2 คลิก</t>
  </si>
  <si>
    <t>LOG-07</t>
  </si>
  <si>
    <t>2026-03-23 10:45</t>
  </si>
  <si>
    <t>Date, Phone, Units, Rating</t>
  </si>
  <si>
    <t>Trap 7: Inconsistent &amp; unvalidated data (ข้อมูลไม่สม่ำเสมอ)</t>
  </si>
  <si>
    <t>Standardize Formats, ตัดสตริงข้อความ 'บาท', '.-', แปลง พ.ศ. เป็น ค.ศ.</t>
  </si>
  <si>
    <t>วันที่ผสม พ.ศ./ค.ศ., เบอร์โทรเว้นวรรคปนกัน, มีหน่วยข้อความติดกับตัวเลข, เรตติ้งเป็นดาวและตัวอักษร</t>
  </si>
  <si>
    <t>วันที่เป็น ISO YYYY-MM-DD, เบอร์โทร 10 หลักชิดซ้าย, ตัวเลขราคาชิดขวา, เรตติ้งเป็นสเกล 1-5</t>
  </si>
  <si>
    <t>ข้อมูลสะอาด พร้อมส่งต่อเข้าโมเดล AI / Gemini วิเคราะห์โดยไม่มี Error</t>
  </si>
  <si>
    <t>LOG-08</t>
  </si>
  <si>
    <t>2026-03-23 11:00</t>
  </si>
  <si>
    <t>Google Forms Integration</t>
  </si>
  <si>
    <t>Systemic Prevention: การล็อกคุณภาพข้อมูลตั้งแต่ต้นทาง</t>
  </si>
  <si>
    <t>เชื่อมต่อ Google Forms สู่ Google Sheets พร้อม Response Validation</t>
  </si>
  <si>
    <t>พนักงานและลูกค้ากรอกข้อมูลอิสระ ขาดการควบคุม ทำให้เกิด Messy Data ซ้ำซาก</t>
  </si>
  <si>
    <t>ใช้ Dropdown ล็อกชื่อสินค้า/สาขา, เปิด Required ทุกข้อ และตั้ง Validation ตัวเลข &gt; 0</t>
  </si>
  <si>
    <t>ทีม Tidy Data Architect</t>
  </si>
  <si>
    <t>ป้องกันข้อมูลขยะ (Garbage In) ได้ตั้งแต่ต้นน้ำ ข้อมูลไหลเข้าชีตเป็น Tidy Data ทันที</t>
  </si>
  <si>
    <t>คู่มือมาตรฐานสถาปัตยกรรมข้อมูล: Tidy Data Master Guide &amp; 7 Messy Traps</t>
  </si>
  <si>
    <t>กรณีศึกษา: เครือข่ายร้าน ปังปอนด์ โฮมเบเกอรี่ &amp; คาเฟ่ (Panpond Home Bakery &amp; Cafe 3 สาขา)</t>
  </si>
  <si>
    <t>📌 3 กฎเหล็กของโครงสร้าง Tidy Data (Hadley Wickham):</t>
  </si>
  <si>
    <t>1. แต่ละตัวแปร (Variable) ต้องอยู่ในคอลัมน์ของตัวเอง | 2. แต่ละหน่วยสังเกตการณ์ (Observation) ต้องอยู่ในแถวของตัวเอง | 3. แต่ละค่า (Value) ต้องอยู่ในเซลล์เดี่ยวๆ ของตัวเอง</t>
  </si>
  <si>
    <t>⚠️ กับดักที่ 1: Multiple Values per Cell (บันทึกหลายค่าในช่องเดียว)</t>
  </si>
  <si>
    <t>ปัญหา: พิมพ์ชื่อเค้ก ขนาด จำนวน ราคา และข้อความอวยพรรวมในช่องเดียว ผลกระทบ: ฟังก์ชัน SUM/AVERAGE คำนวณไม่ได้ และไม่สามารถนับจำนวนชิ้นของสินค้าแต่ละชนิดได้ วิธีแก้: ใช้ Split Text-to-Columns และแตกเป็นแถวสังเกตการณ์ย่อย</t>
  </si>
  <si>
    <t>⚠️ กับดักที่ 2: Subtotals in Rows (ยอดรวมแทรกกลางแถวข้อมูล)</t>
  </si>
  <si>
    <t>ปัญหา: มีแถว 'รวมยอดรอบเช้า', 'รวมยอดวันเสาร์', หรือ Grand Total แทรกอยู่ในตาราง ผลกระทบ: เมื่อใช้สูตร =SUM() ยอดขายจะพองโตเกินจริงเป็น 2 เท่า (Double-counting) ทันที วิธีแก้: ลบแถว Subtotal ออกทั้งหมด แล้วใช้ Pivot Table หรือสูตรคำนวณแยกต่างหาก</t>
  </si>
  <si>
    <t>⚠️ กับดักที่ 3: Merged Cells &amp; Multi-level Headers (เซลล์ผสานและหัวซ้อน)</t>
  </si>
  <si>
    <t>ปัญหา: การผสานเซลล์หัวตาราง 2 ชั้น และผสานเซลล์วันที่/ชื่อลูกค้าในแนวตั้ง ผลกระทบ: ในระบบฐานข้อมูลและชีต เซลล์ที่ถูกผสานจะมีค่าอยู่แค่เซลล์บนซ้ายสุด ส่วนเซลล์อื่นจะกลายเป็นค่าว่าง (Empty/Null) เมื่อ Filter หรือ Pivot ข้อมูลจะหลุดหาย วิธีแก้: Unmerge เซลล์ทั้งหมด แล้วใช้คำสั่ง Fill Down เติมเต็มข้อมูล</t>
  </si>
  <si>
    <t>⚠️ กับดักที่ 4: Color as Data (การใช้สีแทนข้อมูล)</t>
  </si>
  <si>
    <t>ปัญหา: ใช้สีเขียว=จ่ายแล้ว, สีเหลือง=รอสลิป, สีชมพู=ยกเลิก โดยไม่มีคอลัมน์ระบุ ผลกระทบ: AI, Python และสูตรคำนวณพื้นฐานในชีตไม่สามารถอ่านโค้ดสีได้ ทำให้สรุปยอดบิลที่ชำระแล้วไม่ได้ วิธีแก้: เพิ่มคอลัมน์ 'Order_Status' บันทึกข้อความเป็นตัวอักษรชัดเจน</t>
  </si>
  <si>
    <t>⚠️ กับดักที่ 5: Missing Unique ID (ขาดรหัสระบุเฉพาะ)</t>
  </si>
  <si>
    <t>ปัญหา: บันทึกเฉพาะชื่อเล่น เช่น 'คุณเมย์', 'โต๊ะ 2' ผลกระทบ: ไม่สามารถจำแนกได้ว่า 'คุณเมย์' สาขาสยาม กับสาขาอารีย์คือบุคคลเดียวกันหรือไม่ และไม่สามารถเชื่อมโยง (JOIN) กับตารางอื่นได้ วิธีแก้: สร้าง Order_ID และ Customer_ID กำกับอย่างเป็นระบบ</t>
  </si>
  <si>
    <t>⚠️ กับดักที่ 6: Wide Format Trap (ตารางแนวนอนที่นำตัวแปรไปเป็นหัวตาราง)</t>
  </si>
  <si>
    <t>ปัญหา: แยกคอลัมน์ยอดขายตามช่องทาง (ยอดหน้าร้าน, Grab, LINE MAN, Robinhood) ทำให้ตารางแผ่ออกด้านข้าง ผลกระทบ: ข้อมูลเป็น Matrix Table ที่เหมาะกับสายตามนุษย์แต่อ่านยากสำหรับโปรแกรมคำนวณ ไม่สามารถสร้าง Pivot Table มิติช่องทางได้ วิธีแก้: Unpivot (Melt) สู่ Long Format มีคอลัมน์ Channel และ Total_Amount</t>
  </si>
  <si>
    <t>⚠️ กับดักที่ 7: Inconsistent &amp; Unvalidated Data (ข้อมูลไม่สม่ำเสมอและขาดการตรวจสอบ)</t>
  </si>
  <si>
    <t>ปัญหา: วันที่ปน พ.ศ./ค.ศ., เบอร์โทรเว้นวรรคไม่เท่ากัน, ตัวเลขปนตัวอักษร 'บาท', '.-' ชิดซ้าย, เรตติ้งผสมข้อความและรูปดาว ผลกระทบ: สถิติเพี้ยน กรองข้อมูลไม่ติด และสูตร SUM ขึ้น Error #VALUE! วิธีแก้: จัด Format ตัวเลขและวันที่ให้เป็นมาตรฐานเดียวกัน และสร้าง Google Forms พร้อม Data Validation ควบคุมตั้งแต่แรกกรอก</t>
  </si>
  <si>
    <t>💡 บทเรียนสำคัญสำหรับผู้ประกอบการ (Entrepreneurship Key Takeaway):</t>
  </si>
  <si>
    <t>ข้อมูลที่ 'สวยสำหรับสายตามนุษย์' มักเป็น 'ฝันร้ายของคอมพิวเตอร์และ AI' หากจัดเก็บข้อมูลให้เป็น Tidy Data ตั้งแต่วันแรก ธุรกิจจะสามารถนำข้อมูลไปต่อยอดทำ Dashboard, ยิงแคมเปญการตลาดอัตโนมัติ และสั่งงาน AI วิเคราะห์ยอดขายได้อย่างทรงพลังโดยไม่ต้องเสียเวลาคลีนข้อมูลซ้ำซาก!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</si>
</sst>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Noto Sans Thai"/>
    </font>
    <font>
      <b/>
      <sz val="10"/>
      <color rgb="FFFFFFFF"/>
      <name val="Noto Sans Thai"/>
    </font>
    <font>
      <sz val="10"/>
      <color rgb="FF0F172A"/>
      <name val="Noto Sans Thai"/>
    </font>
    <font>
      <b/>
      <sz val="10"/>
      <color rgb="FF92400E"/>
      <name val="Noto Sans Thai"/>
    </font>
    <font>
      <b/>
      <sz val="10"/>
      <color rgb="FF0F172A"/>
      <name val="Noto Sans Thai"/>
    </font>
    <font>
      <b/>
      <sz val="11"/>
      <color rgb="FF065F46"/>
      <name val="Noto Sans Thai"/>
    </font>
    <font>
      <b/>
      <sz val="14"/>
      <color rgb="FF1E1B4B"/>
      <name val="Noto Sans Thai"/>
    </font>
    <font>
      <i/>
      <sz val="11"/>
      <color rgb="FF4B5563"/>
      <name val="Noto Sans Thai"/>
    </font>
  </fonts>
  <fills count="15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3730A3"/>
      </patternFill>
    </fill>
    <fill>
      <patternFill patternType="solid">
        <fgColor rgb="FF312E81"/>
        <bgColor rgb="FF312E81"/>
      </patternFill>
    </fill>
    <fill>
      <patternFill patternType="solid">
        <fgColor rgb="FFD1FAE5"/>
        <bgColor rgb="FFD1FAE5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E0F2FE"/>
        <bgColor rgb="FFE0F2FE"/>
      </patternFill>
    </fill>
    <fill>
      <patternFill patternType="solid">
        <fgColor rgb="FFFEF3C7"/>
        <bgColor rgb="FFFEF3C7"/>
      </patternFill>
    </fill>
    <fill>
      <patternFill patternType="solid">
        <fgColor rgb="FF065F46"/>
        <bgColor rgb="FF065F46"/>
      </patternFill>
    </fill>
    <fill>
      <patternFill patternType="solid">
        <fgColor rgb="FFF0FDF4"/>
        <bgColor rgb="FFF0FDF4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right" vertical="center"/>
    </xf>
    <xf numFmtId="0" fontId="4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right" vertical="center"/>
    </xf>
    <xf numFmtId="0" fontId="5" fillId="11" borderId="1" xfId="0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right" vertical="center"/>
    </xf>
    <xf numFmtId="0" fontId="5" fillId="12" borderId="1" xfId="0" applyFont="1" applyFill="1" applyBorder="1" applyAlignment="1">
      <alignment horizontal="right" vertical="center"/>
    </xf>
    <xf numFmtId="0" fontId="6" fillId="13" borderId="2" xfId="0" applyFont="1" applyFill="1" applyBorder="1" applyAlignment="1">
      <alignment horizontal="right" vertical="center"/>
    </xf>
    <xf numFmtId="0" fontId="0" fillId="13" borderId="2" xfId="0" applyFill="1" applyBorder="1" applyAlignment="1">
      <alignment horizontal="center" vertical="center"/>
    </xf>
    <xf numFmtId="2" fontId="6" fillId="13" borderId="2" xfId="0" applyNumberFormat="1" applyFont="1" applyFill="1" applyBorder="1" applyAlignment="1">
      <alignment horizontal="center" vertical="center"/>
    </xf>
    <xf numFmtId="0" fontId="0" fillId="13" borderId="2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9" borderId="2" xfId="0" applyFont="1" applyFill="1" applyBorder="1" applyAlignment="1">
      <alignment horizontal="left" vertical="center"/>
    </xf>
    <xf numFmtId="0" fontId="0" fillId="9" borderId="2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right" vertical="center"/>
    </xf>
    <xf numFmtId="0" fontId="0" fillId="13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workbookViewId="0">
      <pane ySplit="2" topLeftCell="A3" activePane="bottomLeft" state="frozen"/>
      <selection pane="bottomLeft" activeCell="E42" sqref="E42"/>
    </sheetView>
  </sheetViews>
  <sheetFormatPr defaultRowHeight="15"/>
  <cols>
    <col min="1" max="1" width="16" customWidth="1"/>
    <col min="2" max="2" width="12" customWidth="1"/>
    <col min="3" max="3" width="28" customWidth="1"/>
    <col min="4" max="4" width="16" customWidth="1"/>
    <col min="5" max="5" width="48" customWidth="1"/>
    <col min="6" max="6" width="14" customWidth="1"/>
    <col min="7" max="7" width="15" customWidth="1"/>
    <col min="8" max="8" width="18" customWidth="1"/>
    <col min="9" max="11" width="16" customWidth="1"/>
    <col min="12" max="12" width="20" customWidth="1"/>
    <col min="13" max="13" width="55" customWidth="1"/>
  </cols>
  <sheetData>
    <row r="1" spans="1:13">
      <c r="A1" s="36" t="s">
        <v>0</v>
      </c>
      <c r="B1" s="37"/>
      <c r="C1" s="37"/>
      <c r="D1" s="37"/>
      <c r="E1" s="36" t="s">
        <v>1</v>
      </c>
      <c r="F1" s="37"/>
      <c r="G1" s="37"/>
      <c r="H1" s="40" t="s">
        <v>2</v>
      </c>
      <c r="I1" s="37"/>
      <c r="J1" s="37"/>
      <c r="K1" s="37"/>
      <c r="L1" s="36" t="s">
        <v>3</v>
      </c>
      <c r="M1" s="37"/>
    </row>
    <row r="2" spans="1:13" ht="25.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2" t="s">
        <v>17</v>
      </c>
      <c r="B3" s="2" t="s">
        <v>18</v>
      </c>
      <c r="C3" s="3" t="s">
        <v>19</v>
      </c>
      <c r="D3" s="2" t="s">
        <v>20</v>
      </c>
      <c r="E3" s="3" t="s">
        <v>21</v>
      </c>
      <c r="F3" s="4" t="s">
        <v>22</v>
      </c>
      <c r="G3" s="4" t="s">
        <v>23</v>
      </c>
      <c r="H3" s="4"/>
      <c r="I3" s="4"/>
      <c r="J3" s="4">
        <v>375</v>
      </c>
      <c r="K3" s="4"/>
      <c r="L3" s="2" t="s">
        <v>24</v>
      </c>
      <c r="M3" s="3" t="s">
        <v>25</v>
      </c>
    </row>
    <row r="4" spans="1:13">
      <c r="A4" s="2" t="s">
        <v>17</v>
      </c>
      <c r="B4" s="2" t="s">
        <v>18</v>
      </c>
      <c r="C4" s="3" t="s">
        <v>26</v>
      </c>
      <c r="D4" s="2" t="s">
        <v>27</v>
      </c>
      <c r="E4" s="3" t="s">
        <v>28</v>
      </c>
      <c r="F4" s="4" t="s">
        <v>29</v>
      </c>
      <c r="G4" s="4" t="s">
        <v>30</v>
      </c>
      <c r="H4" s="4">
        <v>235</v>
      </c>
      <c r="I4" s="4"/>
      <c r="J4" s="4"/>
      <c r="K4" s="4"/>
      <c r="L4" s="2" t="s">
        <v>31</v>
      </c>
      <c r="M4" s="3" t="s">
        <v>32</v>
      </c>
    </row>
    <row r="5" spans="1:13">
      <c r="A5" s="5" t="s">
        <v>17</v>
      </c>
      <c r="B5" s="5" t="s">
        <v>18</v>
      </c>
      <c r="C5" s="6" t="s">
        <v>33</v>
      </c>
      <c r="D5" s="5" t="s">
        <v>34</v>
      </c>
      <c r="E5" s="6" t="s">
        <v>35</v>
      </c>
      <c r="F5" s="7" t="s">
        <v>36</v>
      </c>
      <c r="G5" s="7" t="s">
        <v>37</v>
      </c>
      <c r="H5" s="7"/>
      <c r="I5" s="7">
        <v>650</v>
      </c>
      <c r="J5" s="7"/>
      <c r="K5" s="7"/>
      <c r="L5" s="5" t="s">
        <v>38</v>
      </c>
      <c r="M5" s="6" t="s">
        <v>39</v>
      </c>
    </row>
    <row r="6" spans="1:13">
      <c r="A6" s="2" t="s">
        <v>17</v>
      </c>
      <c r="B6" s="2" t="s">
        <v>18</v>
      </c>
      <c r="C6" s="3" t="s">
        <v>40</v>
      </c>
      <c r="D6" s="2" t="s">
        <v>41</v>
      </c>
      <c r="E6" s="3" t="s">
        <v>42</v>
      </c>
      <c r="F6" s="4" t="s">
        <v>43</v>
      </c>
      <c r="G6" s="4" t="s">
        <v>44</v>
      </c>
      <c r="H6" s="4" t="s">
        <v>45</v>
      </c>
      <c r="I6" s="4"/>
      <c r="J6" s="4"/>
      <c r="K6" s="4"/>
      <c r="L6" s="2"/>
      <c r="M6" s="3" t="s">
        <v>46</v>
      </c>
    </row>
    <row r="7" spans="1:13">
      <c r="A7" s="2" t="s">
        <v>17</v>
      </c>
      <c r="B7" s="2" t="s">
        <v>18</v>
      </c>
      <c r="C7" s="3" t="s">
        <v>47</v>
      </c>
      <c r="D7" s="2" t="s">
        <v>48</v>
      </c>
      <c r="E7" s="3" t="s">
        <v>49</v>
      </c>
      <c r="F7" s="4" t="s">
        <v>50</v>
      </c>
      <c r="G7" s="4" t="s">
        <v>51</v>
      </c>
      <c r="H7" s="4"/>
      <c r="I7" s="4"/>
      <c r="J7" s="4"/>
      <c r="K7" s="4" t="s">
        <v>52</v>
      </c>
      <c r="L7" s="2" t="s">
        <v>53</v>
      </c>
      <c r="M7" s="3" t="s">
        <v>54</v>
      </c>
    </row>
    <row r="8" spans="1:13">
      <c r="A8" s="8" t="s">
        <v>17</v>
      </c>
      <c r="B8" s="8" t="s">
        <v>18</v>
      </c>
      <c r="C8" s="9" t="s">
        <v>55</v>
      </c>
      <c r="D8" s="8" t="s">
        <v>56</v>
      </c>
      <c r="E8" s="9" t="s">
        <v>57</v>
      </c>
      <c r="F8" s="10" t="s">
        <v>50</v>
      </c>
      <c r="G8" s="10" t="s">
        <v>58</v>
      </c>
      <c r="H8" s="10"/>
      <c r="I8" s="10">
        <v>420</v>
      </c>
      <c r="J8" s="10"/>
      <c r="K8" s="10"/>
      <c r="L8" s="8" t="s">
        <v>59</v>
      </c>
      <c r="M8" s="9" t="s">
        <v>60</v>
      </c>
    </row>
    <row r="9" spans="1:13">
      <c r="A9" s="2" t="s">
        <v>17</v>
      </c>
      <c r="B9" s="2" t="s">
        <v>18</v>
      </c>
      <c r="C9" s="3" t="s">
        <v>61</v>
      </c>
      <c r="D9" s="2" t="s">
        <v>27</v>
      </c>
      <c r="E9" s="3" t="s">
        <v>62</v>
      </c>
      <c r="F9" s="4" t="s">
        <v>43</v>
      </c>
      <c r="G9" s="4" t="s">
        <v>63</v>
      </c>
      <c r="H9" s="4">
        <v>320</v>
      </c>
      <c r="I9" s="4"/>
      <c r="J9" s="4"/>
      <c r="K9" s="4"/>
      <c r="L9" s="2" t="s">
        <v>24</v>
      </c>
      <c r="M9" s="3" t="s">
        <v>64</v>
      </c>
    </row>
    <row r="10" spans="1:13">
      <c r="A10" s="11" t="s">
        <v>17</v>
      </c>
      <c r="B10" s="11" t="s">
        <v>18</v>
      </c>
      <c r="C10" s="12" t="s">
        <v>65</v>
      </c>
      <c r="D10" s="11" t="s">
        <v>66</v>
      </c>
      <c r="E10" s="12" t="s">
        <v>67</v>
      </c>
      <c r="F10" s="13" t="s">
        <v>68</v>
      </c>
      <c r="G10" s="13" t="s">
        <v>69</v>
      </c>
      <c r="H10" s="13"/>
      <c r="I10" s="13"/>
      <c r="J10" s="13"/>
      <c r="K10" s="13"/>
      <c r="L10" s="11" t="s">
        <v>31</v>
      </c>
      <c r="M10" s="12" t="s">
        <v>70</v>
      </c>
    </row>
    <row r="11" spans="1:13">
      <c r="A11" s="38" t="s">
        <v>71</v>
      </c>
      <c r="B11" s="39"/>
      <c r="C11" s="39"/>
      <c r="D11" s="39"/>
      <c r="E11" s="14" t="s">
        <v>72</v>
      </c>
      <c r="F11" s="14"/>
      <c r="G11" s="14"/>
      <c r="H11" s="15">
        <v>735</v>
      </c>
      <c r="I11" s="15">
        <v>1070</v>
      </c>
      <c r="J11" s="15">
        <v>375</v>
      </c>
      <c r="K11" s="15">
        <v>590</v>
      </c>
      <c r="L11" s="14"/>
      <c r="M11" s="14" t="s">
        <v>73</v>
      </c>
    </row>
    <row r="12" spans="1:13">
      <c r="A12" s="2" t="s">
        <v>74</v>
      </c>
      <c r="B12" s="2" t="s">
        <v>75</v>
      </c>
      <c r="C12" s="3" t="s">
        <v>76</v>
      </c>
      <c r="D12" s="2" t="s">
        <v>20</v>
      </c>
      <c r="E12" s="3" t="s">
        <v>77</v>
      </c>
      <c r="F12" s="4">
        <v>1</v>
      </c>
      <c r="G12" s="4">
        <v>350</v>
      </c>
      <c r="H12" s="4"/>
      <c r="I12" s="4"/>
      <c r="J12" s="4">
        <v>350</v>
      </c>
      <c r="K12" s="4"/>
      <c r="L12" s="2">
        <v>5</v>
      </c>
      <c r="M12" s="3" t="s">
        <v>78</v>
      </c>
    </row>
    <row r="13" spans="1:13">
      <c r="A13" s="2" t="s">
        <v>74</v>
      </c>
      <c r="B13" s="2" t="s">
        <v>75</v>
      </c>
      <c r="C13" s="3" t="s">
        <v>79</v>
      </c>
      <c r="D13" s="2" t="s">
        <v>80</v>
      </c>
      <c r="E13" s="3" t="s">
        <v>81</v>
      </c>
      <c r="F13" s="4" t="s">
        <v>82</v>
      </c>
      <c r="G13" s="4" t="s">
        <v>23</v>
      </c>
      <c r="H13" s="4"/>
      <c r="I13" s="4">
        <v>750</v>
      </c>
      <c r="J13" s="4"/>
      <c r="K13" s="4"/>
      <c r="L13" s="2" t="s">
        <v>83</v>
      </c>
      <c r="M13" s="3" t="s">
        <v>32</v>
      </c>
    </row>
    <row r="14" spans="1:13">
      <c r="A14" s="2" t="s">
        <v>74</v>
      </c>
      <c r="B14" s="2" t="s">
        <v>75</v>
      </c>
      <c r="C14" s="3" t="s">
        <v>84</v>
      </c>
      <c r="D14" s="2" t="s">
        <v>41</v>
      </c>
      <c r="E14" s="3" t="s">
        <v>85</v>
      </c>
      <c r="F14" s="4" t="s">
        <v>86</v>
      </c>
      <c r="G14" s="4" t="s">
        <v>87</v>
      </c>
      <c r="H14" s="4">
        <v>180</v>
      </c>
      <c r="I14" s="4"/>
      <c r="J14" s="4"/>
      <c r="K14" s="4"/>
      <c r="L14" s="2">
        <v>4</v>
      </c>
      <c r="M14" s="3" t="s">
        <v>64</v>
      </c>
    </row>
    <row r="15" spans="1:13">
      <c r="A15" s="2" t="s">
        <v>74</v>
      </c>
      <c r="B15" s="2" t="s">
        <v>75</v>
      </c>
      <c r="C15" s="3" t="s">
        <v>88</v>
      </c>
      <c r="D15" s="2" t="s">
        <v>89</v>
      </c>
      <c r="E15" s="3" t="s">
        <v>90</v>
      </c>
      <c r="F15" s="4">
        <v>4</v>
      </c>
      <c r="G15" s="4" t="s">
        <v>91</v>
      </c>
      <c r="H15" s="4"/>
      <c r="I15" s="4"/>
      <c r="J15" s="4">
        <v>340</v>
      </c>
      <c r="K15" s="4"/>
      <c r="L15" s="2" t="s">
        <v>24</v>
      </c>
      <c r="M15" s="3" t="s">
        <v>92</v>
      </c>
    </row>
    <row r="16" spans="1:13">
      <c r="A16" s="5" t="s">
        <v>74</v>
      </c>
      <c r="B16" s="5" t="s">
        <v>75</v>
      </c>
      <c r="C16" s="6" t="s">
        <v>93</v>
      </c>
      <c r="D16" s="5" t="s">
        <v>94</v>
      </c>
      <c r="E16" s="6" t="s">
        <v>95</v>
      </c>
      <c r="F16" s="7">
        <v>2</v>
      </c>
      <c r="G16" s="7" t="s">
        <v>52</v>
      </c>
      <c r="H16" s="7"/>
      <c r="I16" s="7">
        <v>1180</v>
      </c>
      <c r="J16" s="7"/>
      <c r="K16" s="7"/>
      <c r="L16" s="5" t="s">
        <v>38</v>
      </c>
      <c r="M16" s="6" t="s">
        <v>39</v>
      </c>
    </row>
    <row r="17" spans="1:13">
      <c r="A17" s="2" t="s">
        <v>74</v>
      </c>
      <c r="B17" s="2" t="s">
        <v>75</v>
      </c>
      <c r="C17" s="3" t="s">
        <v>96</v>
      </c>
      <c r="D17" s="2" t="s">
        <v>97</v>
      </c>
      <c r="E17" s="3" t="s">
        <v>98</v>
      </c>
      <c r="F17" s="4">
        <v>6</v>
      </c>
      <c r="G17" s="4">
        <v>45</v>
      </c>
      <c r="H17" s="4">
        <v>270</v>
      </c>
      <c r="I17" s="4"/>
      <c r="J17" s="4"/>
      <c r="K17" s="4"/>
      <c r="L17" s="2" t="s">
        <v>99</v>
      </c>
      <c r="M17" s="3" t="s">
        <v>100</v>
      </c>
    </row>
    <row r="18" spans="1:13">
      <c r="A18" s="2" t="s">
        <v>74</v>
      </c>
      <c r="B18" s="2" t="s">
        <v>75</v>
      </c>
      <c r="C18" s="3" t="s">
        <v>101</v>
      </c>
      <c r="D18" s="2" t="s">
        <v>102</v>
      </c>
      <c r="E18" s="3" t="s">
        <v>103</v>
      </c>
      <c r="F18" s="4" t="s">
        <v>104</v>
      </c>
      <c r="G18" s="4" t="s">
        <v>105</v>
      </c>
      <c r="H18" s="4"/>
      <c r="I18" s="4"/>
      <c r="J18" s="4"/>
      <c r="K18" s="4">
        <v>450</v>
      </c>
      <c r="L18" s="2" t="s">
        <v>24</v>
      </c>
      <c r="M18" s="3" t="s">
        <v>64</v>
      </c>
    </row>
    <row r="19" spans="1:13">
      <c r="A19" s="38" t="s">
        <v>106</v>
      </c>
      <c r="B19" s="39"/>
      <c r="C19" s="39"/>
      <c r="D19" s="39"/>
      <c r="E19" s="14" t="s">
        <v>107</v>
      </c>
      <c r="F19" s="14"/>
      <c r="G19" s="14"/>
      <c r="H19" s="15">
        <v>450</v>
      </c>
      <c r="I19" s="15">
        <v>1930</v>
      </c>
      <c r="J19" s="15">
        <v>690</v>
      </c>
      <c r="K19" s="15">
        <v>450</v>
      </c>
      <c r="L19" s="14"/>
      <c r="M19" s="14" t="s">
        <v>108</v>
      </c>
    </row>
    <row r="20" spans="1:13">
      <c r="A20" s="2" t="s">
        <v>109</v>
      </c>
      <c r="B20" s="2" t="s">
        <v>110</v>
      </c>
      <c r="C20" s="3" t="s">
        <v>111</v>
      </c>
      <c r="D20" s="2" t="s">
        <v>112</v>
      </c>
      <c r="E20" s="3" t="s">
        <v>113</v>
      </c>
      <c r="F20" s="4" t="s">
        <v>104</v>
      </c>
      <c r="G20" s="4" t="s">
        <v>23</v>
      </c>
      <c r="H20" s="4"/>
      <c r="I20" s="4"/>
      <c r="J20" s="4">
        <v>375</v>
      </c>
      <c r="K20" s="4"/>
      <c r="L20" s="2" t="s">
        <v>24</v>
      </c>
      <c r="M20" s="3" t="s">
        <v>114</v>
      </c>
    </row>
    <row r="21" spans="1:13">
      <c r="A21" s="2" t="s">
        <v>109</v>
      </c>
      <c r="B21" s="2" t="s">
        <v>110</v>
      </c>
      <c r="C21" s="3" t="s">
        <v>115</v>
      </c>
      <c r="D21" s="2" t="s">
        <v>116</v>
      </c>
      <c r="E21" s="3" t="s">
        <v>117</v>
      </c>
      <c r="F21" s="4">
        <v>4</v>
      </c>
      <c r="G21" s="4" t="s">
        <v>118</v>
      </c>
      <c r="H21" s="4">
        <v>260</v>
      </c>
      <c r="I21" s="4"/>
      <c r="J21" s="4"/>
      <c r="K21" s="4"/>
      <c r="L21" s="2" t="s">
        <v>38</v>
      </c>
      <c r="M21" s="3" t="s">
        <v>119</v>
      </c>
    </row>
    <row r="22" spans="1:13">
      <c r="A22" s="8" t="s">
        <v>109</v>
      </c>
      <c r="B22" s="8" t="s">
        <v>110</v>
      </c>
      <c r="C22" s="9" t="s">
        <v>120</v>
      </c>
      <c r="D22" s="8" t="s">
        <v>121</v>
      </c>
      <c r="E22" s="9" t="s">
        <v>122</v>
      </c>
      <c r="F22" s="10">
        <v>1</v>
      </c>
      <c r="G22" s="10">
        <v>350</v>
      </c>
      <c r="H22" s="10"/>
      <c r="I22" s="10">
        <v>350</v>
      </c>
      <c r="J22" s="10"/>
      <c r="K22" s="10"/>
      <c r="L22" s="8" t="s">
        <v>50</v>
      </c>
      <c r="M22" s="9" t="s">
        <v>123</v>
      </c>
    </row>
    <row r="23" spans="1:13">
      <c r="A23" s="2" t="s">
        <v>109</v>
      </c>
      <c r="B23" s="2" t="s">
        <v>110</v>
      </c>
      <c r="C23" s="3" t="s">
        <v>124</v>
      </c>
      <c r="D23" s="2" t="s">
        <v>41</v>
      </c>
      <c r="E23" s="3" t="s">
        <v>125</v>
      </c>
      <c r="F23" s="4">
        <v>4</v>
      </c>
      <c r="G23" s="4" t="s">
        <v>126</v>
      </c>
      <c r="H23" s="4">
        <v>300</v>
      </c>
      <c r="I23" s="4"/>
      <c r="J23" s="4"/>
      <c r="K23" s="4"/>
      <c r="L23" s="2" t="s">
        <v>127</v>
      </c>
      <c r="M23" s="3" t="s">
        <v>32</v>
      </c>
    </row>
    <row r="24" spans="1:13">
      <c r="A24" s="2" t="s">
        <v>109</v>
      </c>
      <c r="B24" s="2" t="s">
        <v>110</v>
      </c>
      <c r="C24" s="3" t="s">
        <v>128</v>
      </c>
      <c r="D24" s="2" t="s">
        <v>129</v>
      </c>
      <c r="E24" s="3" t="s">
        <v>130</v>
      </c>
      <c r="F24" s="4" t="s">
        <v>104</v>
      </c>
      <c r="G24" s="4" t="s">
        <v>131</v>
      </c>
      <c r="H24" s="4"/>
      <c r="I24" s="4"/>
      <c r="J24" s="4"/>
      <c r="K24" s="4">
        <v>630</v>
      </c>
      <c r="L24" s="2" t="s">
        <v>31</v>
      </c>
      <c r="M24" s="3" t="s">
        <v>32</v>
      </c>
    </row>
    <row r="25" spans="1:13">
      <c r="A25" s="2" t="s">
        <v>109</v>
      </c>
      <c r="B25" s="2" t="s">
        <v>110</v>
      </c>
      <c r="C25" s="3" t="s">
        <v>132</v>
      </c>
      <c r="D25" s="2" t="s">
        <v>133</v>
      </c>
      <c r="E25" s="3" t="s">
        <v>134</v>
      </c>
      <c r="F25" s="4">
        <v>3</v>
      </c>
      <c r="G25" s="4" t="s">
        <v>135</v>
      </c>
      <c r="H25" s="4">
        <v>185</v>
      </c>
      <c r="I25" s="4"/>
      <c r="J25" s="4"/>
      <c r="K25" s="4"/>
      <c r="L25" s="2" t="s">
        <v>24</v>
      </c>
      <c r="M25" s="3" t="s">
        <v>64</v>
      </c>
    </row>
    <row r="26" spans="1:13">
      <c r="A26" s="11" t="s">
        <v>109</v>
      </c>
      <c r="B26" s="11" t="s">
        <v>110</v>
      </c>
      <c r="C26" s="12" t="s">
        <v>136</v>
      </c>
      <c r="D26" s="11" t="s">
        <v>137</v>
      </c>
      <c r="E26" s="12" t="s">
        <v>138</v>
      </c>
      <c r="F26" s="13">
        <v>50</v>
      </c>
      <c r="G26" s="13" t="s">
        <v>139</v>
      </c>
      <c r="H26" s="13"/>
      <c r="I26" s="13"/>
      <c r="J26" s="13"/>
      <c r="K26" s="13"/>
      <c r="L26" s="11" t="s">
        <v>24</v>
      </c>
      <c r="M26" s="12" t="s">
        <v>140</v>
      </c>
    </row>
    <row r="27" spans="1:13">
      <c r="A27" s="38" t="s">
        <v>141</v>
      </c>
      <c r="B27" s="39"/>
      <c r="C27" s="39"/>
      <c r="D27" s="39"/>
      <c r="E27" s="14" t="s">
        <v>142</v>
      </c>
      <c r="F27" s="14"/>
      <c r="G27" s="14"/>
      <c r="H27" s="15">
        <v>745</v>
      </c>
      <c r="I27" s="15">
        <v>350</v>
      </c>
      <c r="J27" s="15">
        <v>375</v>
      </c>
      <c r="K27" s="15">
        <v>630</v>
      </c>
      <c r="L27" s="14"/>
      <c r="M27" s="14" t="s">
        <v>143</v>
      </c>
    </row>
    <row r="28" spans="1:13">
      <c r="A28" s="2" t="s">
        <v>144</v>
      </c>
      <c r="B28" s="2" t="s">
        <v>18</v>
      </c>
      <c r="C28" s="3" t="s">
        <v>76</v>
      </c>
      <c r="D28" s="2" t="s">
        <v>20</v>
      </c>
      <c r="E28" s="3" t="s">
        <v>145</v>
      </c>
      <c r="F28" s="4">
        <v>1</v>
      </c>
      <c r="G28" s="4">
        <v>420</v>
      </c>
      <c r="H28" s="4"/>
      <c r="I28" s="4"/>
      <c r="J28" s="4">
        <v>420</v>
      </c>
      <c r="K28" s="4"/>
      <c r="L28" s="2" t="s">
        <v>24</v>
      </c>
      <c r="M28" s="3" t="s">
        <v>146</v>
      </c>
    </row>
    <row r="29" spans="1:13">
      <c r="A29" s="2" t="s">
        <v>144</v>
      </c>
      <c r="B29" s="2" t="s">
        <v>18</v>
      </c>
      <c r="C29" s="3" t="s">
        <v>33</v>
      </c>
      <c r="D29" s="2" t="s">
        <v>34</v>
      </c>
      <c r="E29" s="3" t="s">
        <v>147</v>
      </c>
      <c r="F29" s="4">
        <v>6</v>
      </c>
      <c r="G29" s="4">
        <v>85</v>
      </c>
      <c r="H29" s="4"/>
      <c r="I29" s="4">
        <v>510</v>
      </c>
      <c r="J29" s="4"/>
      <c r="K29" s="4"/>
      <c r="L29" s="2" t="s">
        <v>24</v>
      </c>
      <c r="M29" s="3" t="s">
        <v>148</v>
      </c>
    </row>
    <row r="30" spans="1:13">
      <c r="A30" s="2" t="s">
        <v>144</v>
      </c>
      <c r="B30" s="2" t="s">
        <v>75</v>
      </c>
      <c r="C30" s="3" t="s">
        <v>55</v>
      </c>
      <c r="D30" s="2" t="s">
        <v>56</v>
      </c>
      <c r="E30" s="3" t="s">
        <v>149</v>
      </c>
      <c r="F30" s="4" t="s">
        <v>104</v>
      </c>
      <c r="G30" s="4" t="s">
        <v>23</v>
      </c>
      <c r="H30" s="4"/>
      <c r="I30" s="4"/>
      <c r="J30" s="4">
        <v>375</v>
      </c>
      <c r="K30" s="4"/>
      <c r="L30" s="2" t="s">
        <v>38</v>
      </c>
      <c r="M30" s="3" t="s">
        <v>64</v>
      </c>
    </row>
    <row r="31" spans="1:13">
      <c r="A31" s="2" t="s">
        <v>144</v>
      </c>
      <c r="B31" s="2" t="s">
        <v>75</v>
      </c>
      <c r="C31" s="3" t="s">
        <v>150</v>
      </c>
      <c r="D31" s="2" t="s">
        <v>41</v>
      </c>
      <c r="E31" s="3" t="s">
        <v>151</v>
      </c>
      <c r="F31" s="4">
        <v>3</v>
      </c>
      <c r="G31" s="4" t="s">
        <v>30</v>
      </c>
      <c r="H31" s="4">
        <v>235</v>
      </c>
      <c r="I31" s="4"/>
      <c r="J31" s="4"/>
      <c r="K31" s="4"/>
      <c r="L31" s="2" t="s">
        <v>38</v>
      </c>
      <c r="M31" s="3" t="s">
        <v>64</v>
      </c>
    </row>
    <row r="32" spans="1:13">
      <c r="A32" s="2" t="s">
        <v>144</v>
      </c>
      <c r="B32" s="2" t="s">
        <v>110</v>
      </c>
      <c r="C32" s="3" t="s">
        <v>115</v>
      </c>
      <c r="D32" s="2" t="s">
        <v>116</v>
      </c>
      <c r="E32" s="3" t="s">
        <v>49</v>
      </c>
      <c r="F32" s="4">
        <v>1</v>
      </c>
      <c r="G32" s="4" t="s">
        <v>51</v>
      </c>
      <c r="H32" s="4"/>
      <c r="I32" s="4">
        <v>590</v>
      </c>
      <c r="J32" s="4"/>
      <c r="K32" s="4"/>
      <c r="L32" s="2" t="s">
        <v>24</v>
      </c>
      <c r="M32" s="3" t="s">
        <v>148</v>
      </c>
    </row>
    <row r="33" spans="1:13">
      <c r="A33" s="2" t="s">
        <v>144</v>
      </c>
      <c r="B33" s="2" t="s">
        <v>110</v>
      </c>
      <c r="C33" s="3" t="s">
        <v>120</v>
      </c>
      <c r="D33" s="2" t="s">
        <v>121</v>
      </c>
      <c r="E33" s="3" t="s">
        <v>152</v>
      </c>
      <c r="F33" s="4">
        <v>5</v>
      </c>
      <c r="G33" s="4" t="s">
        <v>153</v>
      </c>
      <c r="H33" s="4">
        <v>245</v>
      </c>
      <c r="I33" s="4"/>
      <c r="J33" s="4"/>
      <c r="K33" s="4"/>
      <c r="L33" s="2" t="s">
        <v>31</v>
      </c>
      <c r="M33" s="3" t="s">
        <v>32</v>
      </c>
    </row>
    <row r="34" spans="1:13">
      <c r="A34" s="38" t="s">
        <v>154</v>
      </c>
      <c r="B34" s="39"/>
      <c r="C34" s="39"/>
      <c r="D34" s="39"/>
      <c r="E34" s="14" t="s">
        <v>155</v>
      </c>
      <c r="F34" s="14"/>
      <c r="G34" s="14"/>
      <c r="H34" s="15">
        <v>480</v>
      </c>
      <c r="I34" s="15">
        <v>1100</v>
      </c>
      <c r="J34" s="15">
        <v>795</v>
      </c>
      <c r="K34" s="15"/>
      <c r="L34" s="14"/>
      <c r="M34" s="14" t="s">
        <v>156</v>
      </c>
    </row>
    <row r="35" spans="1:13">
      <c r="A35" s="2" t="s">
        <v>157</v>
      </c>
      <c r="B35" s="2" t="s">
        <v>18</v>
      </c>
      <c r="C35" s="3" t="s">
        <v>79</v>
      </c>
      <c r="D35" s="2" t="s">
        <v>80</v>
      </c>
      <c r="E35" s="3" t="s">
        <v>158</v>
      </c>
      <c r="F35" s="4" t="s">
        <v>159</v>
      </c>
      <c r="G35" s="4" t="s">
        <v>160</v>
      </c>
      <c r="H35" s="4">
        <v>685</v>
      </c>
      <c r="I35" s="4"/>
      <c r="J35" s="4"/>
      <c r="K35" s="4"/>
      <c r="L35" s="2" t="s">
        <v>24</v>
      </c>
      <c r="M35" s="3" t="s">
        <v>64</v>
      </c>
    </row>
    <row r="36" spans="1:13">
      <c r="A36" s="2" t="s">
        <v>157</v>
      </c>
      <c r="B36" s="2" t="s">
        <v>18</v>
      </c>
      <c r="C36" s="3" t="s">
        <v>161</v>
      </c>
      <c r="D36" s="2" t="s">
        <v>162</v>
      </c>
      <c r="E36" s="3" t="s">
        <v>163</v>
      </c>
      <c r="F36" s="4" t="s">
        <v>43</v>
      </c>
      <c r="G36" s="4" t="s">
        <v>30</v>
      </c>
      <c r="H36" s="4"/>
      <c r="I36" s="4">
        <v>320</v>
      </c>
      <c r="J36" s="4"/>
      <c r="K36" s="4"/>
      <c r="L36" s="2" t="s">
        <v>38</v>
      </c>
      <c r="M36" s="3" t="s">
        <v>64</v>
      </c>
    </row>
    <row r="37" spans="1:13">
      <c r="A37" s="2" t="s">
        <v>157</v>
      </c>
      <c r="B37" s="2" t="s">
        <v>75</v>
      </c>
      <c r="C37" s="3" t="s">
        <v>88</v>
      </c>
      <c r="D37" s="2" t="s">
        <v>89</v>
      </c>
      <c r="E37" s="3" t="s">
        <v>164</v>
      </c>
      <c r="F37" s="4">
        <v>1</v>
      </c>
      <c r="G37" s="4" t="s">
        <v>165</v>
      </c>
      <c r="H37" s="4"/>
      <c r="I37" s="4"/>
      <c r="J37" s="4">
        <v>350</v>
      </c>
      <c r="K37" s="4"/>
      <c r="L37" s="2" t="s">
        <v>24</v>
      </c>
      <c r="M37" s="3" t="s">
        <v>166</v>
      </c>
    </row>
    <row r="38" spans="1:13">
      <c r="A38" s="2" t="s">
        <v>157</v>
      </c>
      <c r="B38" s="2" t="s">
        <v>75</v>
      </c>
      <c r="C38" s="3" t="s">
        <v>167</v>
      </c>
      <c r="D38" s="2" t="s">
        <v>168</v>
      </c>
      <c r="E38" s="3" t="s">
        <v>169</v>
      </c>
      <c r="F38" s="4">
        <v>12</v>
      </c>
      <c r="G38" s="4" t="s">
        <v>44</v>
      </c>
      <c r="H38" s="4"/>
      <c r="I38" s="4"/>
      <c r="J38" s="4"/>
      <c r="K38" s="4">
        <v>540</v>
      </c>
      <c r="L38" s="2" t="s">
        <v>31</v>
      </c>
      <c r="M38" s="3" t="s">
        <v>170</v>
      </c>
    </row>
    <row r="39" spans="1:13">
      <c r="A39" s="5" t="s">
        <v>157</v>
      </c>
      <c r="B39" s="5" t="s">
        <v>110</v>
      </c>
      <c r="C39" s="6" t="s">
        <v>171</v>
      </c>
      <c r="D39" s="5" t="s">
        <v>172</v>
      </c>
      <c r="E39" s="6" t="s">
        <v>173</v>
      </c>
      <c r="F39" s="7" t="s">
        <v>174</v>
      </c>
      <c r="G39" s="7" t="s">
        <v>175</v>
      </c>
      <c r="H39" s="7"/>
      <c r="I39" s="7">
        <v>700</v>
      </c>
      <c r="J39" s="7"/>
      <c r="K39" s="7"/>
      <c r="L39" s="5" t="s">
        <v>38</v>
      </c>
      <c r="M39" s="6" t="s">
        <v>176</v>
      </c>
    </row>
    <row r="40" spans="1:13">
      <c r="A40" s="2" t="s">
        <v>157</v>
      </c>
      <c r="B40" s="2" t="s">
        <v>110</v>
      </c>
      <c r="C40" s="3" t="s">
        <v>177</v>
      </c>
      <c r="D40" s="2" t="s">
        <v>41</v>
      </c>
      <c r="E40" s="3" t="s">
        <v>178</v>
      </c>
      <c r="F40" s="4">
        <v>2</v>
      </c>
      <c r="G40" s="4" t="s">
        <v>126</v>
      </c>
      <c r="H40" s="4">
        <v>150</v>
      </c>
      <c r="I40" s="4"/>
      <c r="J40" s="4"/>
      <c r="K40" s="4"/>
      <c r="L40" s="2" t="s">
        <v>24</v>
      </c>
      <c r="M40" s="3" t="s">
        <v>64</v>
      </c>
    </row>
    <row r="41" spans="1:13">
      <c r="A41" s="38" t="s">
        <v>179</v>
      </c>
      <c r="B41" s="39"/>
      <c r="C41" s="39"/>
      <c r="D41" s="39"/>
      <c r="E41" s="14" t="s">
        <v>180</v>
      </c>
      <c r="F41" s="14"/>
      <c r="G41" s="14"/>
      <c r="H41" s="15">
        <v>835</v>
      </c>
      <c r="I41" s="15">
        <v>1020</v>
      </c>
      <c r="J41" s="15">
        <v>350</v>
      </c>
      <c r="K41" s="15">
        <v>540</v>
      </c>
      <c r="L41" s="14"/>
      <c r="M41" s="14" t="s">
        <v>156</v>
      </c>
    </row>
    <row r="42" spans="1:13">
      <c r="A42" s="11" t="s">
        <v>181</v>
      </c>
      <c r="B42" s="11" t="s">
        <v>18</v>
      </c>
      <c r="C42" s="12" t="s">
        <v>182</v>
      </c>
      <c r="D42" s="11" t="s">
        <v>183</v>
      </c>
      <c r="E42" s="12" t="s">
        <v>184</v>
      </c>
      <c r="F42" s="13">
        <v>40</v>
      </c>
      <c r="G42" s="13" t="s">
        <v>185</v>
      </c>
      <c r="H42" s="13"/>
      <c r="I42" s="13"/>
      <c r="J42" s="13"/>
      <c r="K42" s="13"/>
      <c r="L42" s="11" t="s">
        <v>31</v>
      </c>
      <c r="M42" s="12" t="s">
        <v>186</v>
      </c>
    </row>
    <row r="43" spans="1:13">
      <c r="A43" s="2" t="s">
        <v>181</v>
      </c>
      <c r="B43" s="2" t="s">
        <v>18</v>
      </c>
      <c r="C43" s="3" t="s">
        <v>76</v>
      </c>
      <c r="D43" s="2" t="s">
        <v>20</v>
      </c>
      <c r="E43" s="3" t="s">
        <v>49</v>
      </c>
      <c r="F43" s="4">
        <v>1</v>
      </c>
      <c r="G43" s="4">
        <v>590</v>
      </c>
      <c r="H43" s="4"/>
      <c r="I43" s="4"/>
      <c r="J43" s="4">
        <v>590</v>
      </c>
      <c r="K43" s="4"/>
      <c r="L43" s="2" t="s">
        <v>24</v>
      </c>
      <c r="M43" s="3" t="s">
        <v>187</v>
      </c>
    </row>
    <row r="44" spans="1:13">
      <c r="A44" s="2" t="s">
        <v>181</v>
      </c>
      <c r="B44" s="2" t="s">
        <v>75</v>
      </c>
      <c r="C44" s="3" t="s">
        <v>101</v>
      </c>
      <c r="D44" s="2" t="s">
        <v>102</v>
      </c>
      <c r="E44" s="3" t="s">
        <v>188</v>
      </c>
      <c r="F44" s="4">
        <v>8</v>
      </c>
      <c r="G44" s="4" t="s">
        <v>189</v>
      </c>
      <c r="H44" s="4">
        <v>680</v>
      </c>
      <c r="I44" s="4"/>
      <c r="J44" s="4"/>
      <c r="K44" s="4"/>
      <c r="L44" s="2" t="s">
        <v>24</v>
      </c>
      <c r="M44" s="3" t="s">
        <v>190</v>
      </c>
    </row>
    <row r="45" spans="1:13">
      <c r="A45" s="2" t="s">
        <v>181</v>
      </c>
      <c r="B45" s="2" t="s">
        <v>75</v>
      </c>
      <c r="C45" s="3" t="s">
        <v>33</v>
      </c>
      <c r="D45" s="2" t="s">
        <v>34</v>
      </c>
      <c r="E45" s="3" t="s">
        <v>191</v>
      </c>
      <c r="F45" s="4" t="s">
        <v>104</v>
      </c>
      <c r="G45" s="4" t="s">
        <v>192</v>
      </c>
      <c r="H45" s="4"/>
      <c r="I45" s="4">
        <v>790</v>
      </c>
      <c r="J45" s="4"/>
      <c r="K45" s="4"/>
      <c r="L45" s="2" t="s">
        <v>38</v>
      </c>
      <c r="M45" s="3" t="s">
        <v>64</v>
      </c>
    </row>
    <row r="46" spans="1:13">
      <c r="A46" s="8" t="s">
        <v>181</v>
      </c>
      <c r="B46" s="8" t="s">
        <v>110</v>
      </c>
      <c r="C46" s="9" t="s">
        <v>193</v>
      </c>
      <c r="D46" s="8" t="s">
        <v>194</v>
      </c>
      <c r="E46" s="9" t="s">
        <v>195</v>
      </c>
      <c r="F46" s="10">
        <v>1</v>
      </c>
      <c r="G46" s="10">
        <v>350</v>
      </c>
      <c r="H46" s="10"/>
      <c r="I46" s="10">
        <v>350</v>
      </c>
      <c r="J46" s="10"/>
      <c r="K46" s="10"/>
      <c r="L46" s="8" t="s">
        <v>50</v>
      </c>
      <c r="M46" s="9" t="s">
        <v>196</v>
      </c>
    </row>
    <row r="47" spans="1:13">
      <c r="A47" s="2" t="s">
        <v>181</v>
      </c>
      <c r="B47" s="2" t="s">
        <v>110</v>
      </c>
      <c r="C47" s="3" t="s">
        <v>115</v>
      </c>
      <c r="D47" s="2" t="s">
        <v>116</v>
      </c>
      <c r="E47" s="3" t="s">
        <v>197</v>
      </c>
      <c r="F47" s="4">
        <v>10</v>
      </c>
      <c r="G47" s="4" t="s">
        <v>135</v>
      </c>
      <c r="H47" s="4">
        <v>550</v>
      </c>
      <c r="I47" s="4"/>
      <c r="J47" s="4"/>
      <c r="K47" s="4"/>
      <c r="L47" s="2" t="s">
        <v>24</v>
      </c>
      <c r="M47" s="3" t="s">
        <v>64</v>
      </c>
    </row>
    <row r="48" spans="1:13">
      <c r="A48" s="38" t="s">
        <v>198</v>
      </c>
      <c r="B48" s="39"/>
      <c r="C48" s="39"/>
      <c r="D48" s="39"/>
      <c r="E48" s="14" t="s">
        <v>199</v>
      </c>
      <c r="F48" s="14"/>
      <c r="G48" s="14"/>
      <c r="H48" s="15">
        <v>1230</v>
      </c>
      <c r="I48" s="15">
        <v>1140</v>
      </c>
      <c r="J48" s="15">
        <v>590</v>
      </c>
      <c r="K48" s="15"/>
      <c r="L48" s="14"/>
      <c r="M48" s="14" t="s">
        <v>156</v>
      </c>
    </row>
    <row r="49" spans="1:13">
      <c r="A49" s="2" t="s">
        <v>200</v>
      </c>
      <c r="B49" s="2" t="s">
        <v>18</v>
      </c>
      <c r="C49" s="3" t="s">
        <v>47</v>
      </c>
      <c r="D49" s="2" t="s">
        <v>48</v>
      </c>
      <c r="E49" s="3" t="s">
        <v>201</v>
      </c>
      <c r="F49" s="4" t="s">
        <v>104</v>
      </c>
      <c r="G49" s="4" t="s">
        <v>23</v>
      </c>
      <c r="H49" s="4"/>
      <c r="I49" s="4"/>
      <c r="J49" s="4">
        <v>375</v>
      </c>
      <c r="K49" s="4"/>
      <c r="L49" s="2" t="s">
        <v>24</v>
      </c>
      <c r="M49" s="3" t="s">
        <v>64</v>
      </c>
    </row>
    <row r="50" spans="1:13">
      <c r="A50" s="2" t="s">
        <v>200</v>
      </c>
      <c r="B50" s="2" t="s">
        <v>18</v>
      </c>
      <c r="C50" s="3" t="s">
        <v>84</v>
      </c>
      <c r="D50" s="2" t="s">
        <v>41</v>
      </c>
      <c r="E50" s="3" t="s">
        <v>202</v>
      </c>
      <c r="F50" s="4">
        <v>4</v>
      </c>
      <c r="G50" s="4" t="s">
        <v>30</v>
      </c>
      <c r="H50" s="4">
        <v>300</v>
      </c>
      <c r="I50" s="4"/>
      <c r="J50" s="4"/>
      <c r="K50" s="4"/>
      <c r="L50" s="2" t="s">
        <v>83</v>
      </c>
      <c r="M50" s="3" t="s">
        <v>64</v>
      </c>
    </row>
    <row r="51" spans="1:13">
      <c r="A51" s="2" t="s">
        <v>200</v>
      </c>
      <c r="B51" s="2" t="s">
        <v>18</v>
      </c>
      <c r="C51" s="3" t="s">
        <v>203</v>
      </c>
      <c r="D51" s="2" t="s">
        <v>204</v>
      </c>
      <c r="E51" s="3" t="s">
        <v>95</v>
      </c>
      <c r="F51" s="4">
        <v>2</v>
      </c>
      <c r="G51" s="4" t="s">
        <v>51</v>
      </c>
      <c r="H51" s="4"/>
      <c r="I51" s="4">
        <v>1180</v>
      </c>
      <c r="J51" s="4"/>
      <c r="K51" s="4"/>
      <c r="L51" s="2" t="s">
        <v>24</v>
      </c>
      <c r="M51" s="3" t="s">
        <v>148</v>
      </c>
    </row>
    <row r="52" spans="1:13">
      <c r="A52" s="2" t="s">
        <v>200</v>
      </c>
      <c r="B52" s="2" t="s">
        <v>75</v>
      </c>
      <c r="C52" s="3" t="s">
        <v>55</v>
      </c>
      <c r="D52" s="2" t="s">
        <v>56</v>
      </c>
      <c r="E52" s="3" t="s">
        <v>117</v>
      </c>
      <c r="F52" s="4">
        <v>4</v>
      </c>
      <c r="G52" s="4">
        <v>65</v>
      </c>
      <c r="H52" s="4"/>
      <c r="I52" s="4"/>
      <c r="J52" s="4">
        <v>260</v>
      </c>
      <c r="K52" s="4"/>
      <c r="L52" s="2" t="s">
        <v>24</v>
      </c>
      <c r="M52" s="3" t="s">
        <v>148</v>
      </c>
    </row>
    <row r="53" spans="1:13">
      <c r="A53" s="2" t="s">
        <v>200</v>
      </c>
      <c r="B53" s="2" t="s">
        <v>75</v>
      </c>
      <c r="C53" s="3" t="s">
        <v>93</v>
      </c>
      <c r="D53" s="2" t="s">
        <v>94</v>
      </c>
      <c r="E53" s="3" t="s">
        <v>103</v>
      </c>
      <c r="F53" s="4" t="s">
        <v>104</v>
      </c>
      <c r="G53" s="4" t="s">
        <v>105</v>
      </c>
      <c r="H53" s="4"/>
      <c r="I53" s="4"/>
      <c r="J53" s="4"/>
      <c r="K53" s="4">
        <v>450</v>
      </c>
      <c r="L53" s="2" t="s">
        <v>38</v>
      </c>
      <c r="M53" s="3" t="s">
        <v>64</v>
      </c>
    </row>
    <row r="54" spans="1:13">
      <c r="A54" s="2" t="s">
        <v>200</v>
      </c>
      <c r="B54" s="2" t="s">
        <v>110</v>
      </c>
      <c r="C54" s="3" t="s">
        <v>132</v>
      </c>
      <c r="D54" s="2" t="s">
        <v>133</v>
      </c>
      <c r="E54" s="3" t="s">
        <v>205</v>
      </c>
      <c r="F54" s="4">
        <v>2</v>
      </c>
      <c r="G54" s="4">
        <v>700</v>
      </c>
      <c r="H54" s="4">
        <v>700</v>
      </c>
      <c r="I54" s="4"/>
      <c r="J54" s="4"/>
      <c r="K54" s="4"/>
      <c r="L54" s="2" t="s">
        <v>24</v>
      </c>
      <c r="M54" s="3" t="s">
        <v>148</v>
      </c>
    </row>
    <row r="55" spans="1:13">
      <c r="A55" s="2" t="s">
        <v>200</v>
      </c>
      <c r="B55" s="2" t="s">
        <v>110</v>
      </c>
      <c r="C55" s="3" t="s">
        <v>120</v>
      </c>
      <c r="D55" s="2" t="s">
        <v>121</v>
      </c>
      <c r="E55" s="3" t="s">
        <v>206</v>
      </c>
      <c r="F55" s="4">
        <v>8</v>
      </c>
      <c r="G55" s="4" t="s">
        <v>207</v>
      </c>
      <c r="H55" s="4"/>
      <c r="I55" s="4">
        <v>440</v>
      </c>
      <c r="J55" s="4"/>
      <c r="K55" s="4"/>
      <c r="L55" s="2" t="s">
        <v>24</v>
      </c>
      <c r="M55" s="3" t="s">
        <v>64</v>
      </c>
    </row>
    <row r="56" spans="1:13">
      <c r="A56" s="38" t="s">
        <v>208</v>
      </c>
      <c r="B56" s="39"/>
      <c r="C56" s="39"/>
      <c r="D56" s="39"/>
      <c r="E56" s="14" t="s">
        <v>209</v>
      </c>
      <c r="F56" s="14"/>
      <c r="G56" s="14"/>
      <c r="H56" s="15">
        <v>1000</v>
      </c>
      <c r="I56" s="15">
        <v>1620</v>
      </c>
      <c r="J56" s="15">
        <v>635</v>
      </c>
      <c r="K56" s="15">
        <v>450</v>
      </c>
      <c r="L56" s="14"/>
      <c r="M56" s="14" t="s">
        <v>156</v>
      </c>
    </row>
    <row r="57" spans="1:13">
      <c r="A57" s="2" t="s">
        <v>210</v>
      </c>
      <c r="B57" s="2" t="s">
        <v>18</v>
      </c>
      <c r="C57" s="3" t="s">
        <v>128</v>
      </c>
      <c r="D57" s="2" t="s">
        <v>129</v>
      </c>
      <c r="E57" s="3" t="s">
        <v>49</v>
      </c>
      <c r="F57" s="4">
        <v>1</v>
      </c>
      <c r="G57" s="4">
        <v>590</v>
      </c>
      <c r="H57" s="4"/>
      <c r="I57" s="4"/>
      <c r="J57" s="4">
        <v>590</v>
      </c>
      <c r="K57" s="4"/>
      <c r="L57" s="2" t="s">
        <v>24</v>
      </c>
      <c r="M57" s="3" t="s">
        <v>148</v>
      </c>
    </row>
    <row r="58" spans="1:13">
      <c r="A58" s="5" t="s">
        <v>210</v>
      </c>
      <c r="B58" s="5" t="s">
        <v>18</v>
      </c>
      <c r="C58" s="6" t="s">
        <v>211</v>
      </c>
      <c r="D58" s="5" t="s">
        <v>212</v>
      </c>
      <c r="E58" s="6" t="s">
        <v>213</v>
      </c>
      <c r="F58" s="7" t="s">
        <v>104</v>
      </c>
      <c r="G58" s="7" t="s">
        <v>23</v>
      </c>
      <c r="H58" s="7"/>
      <c r="I58" s="7">
        <v>375</v>
      </c>
      <c r="J58" s="7"/>
      <c r="K58" s="7"/>
      <c r="L58" s="5" t="s">
        <v>38</v>
      </c>
      <c r="M58" s="6" t="s">
        <v>176</v>
      </c>
    </row>
    <row r="59" spans="1:13">
      <c r="A59" s="2" t="s">
        <v>210</v>
      </c>
      <c r="B59" s="2" t="s">
        <v>75</v>
      </c>
      <c r="C59" s="3" t="s">
        <v>96</v>
      </c>
      <c r="D59" s="2" t="s">
        <v>97</v>
      </c>
      <c r="E59" s="3" t="s">
        <v>214</v>
      </c>
      <c r="F59" s="4">
        <v>6</v>
      </c>
      <c r="G59" s="4" t="s">
        <v>215</v>
      </c>
      <c r="H59" s="4">
        <v>530</v>
      </c>
      <c r="I59" s="4"/>
      <c r="J59" s="4"/>
      <c r="K59" s="4"/>
      <c r="L59" s="2" t="s">
        <v>24</v>
      </c>
      <c r="M59" s="3" t="s">
        <v>64</v>
      </c>
    </row>
    <row r="60" spans="1:13">
      <c r="A60" s="2" t="s">
        <v>210</v>
      </c>
      <c r="B60" s="2" t="s">
        <v>75</v>
      </c>
      <c r="C60" s="3" t="s">
        <v>216</v>
      </c>
      <c r="D60" s="2" t="s">
        <v>162</v>
      </c>
      <c r="E60" s="3" t="s">
        <v>217</v>
      </c>
      <c r="F60" s="4">
        <v>4</v>
      </c>
      <c r="G60" s="4">
        <v>45</v>
      </c>
      <c r="H60" s="4"/>
      <c r="I60" s="4"/>
      <c r="J60" s="4">
        <v>180</v>
      </c>
      <c r="K60" s="4"/>
      <c r="L60" s="2" t="s">
        <v>38</v>
      </c>
      <c r="M60" s="3" t="s">
        <v>148</v>
      </c>
    </row>
    <row r="61" spans="1:13">
      <c r="A61" s="2" t="s">
        <v>210</v>
      </c>
      <c r="B61" s="2" t="s">
        <v>110</v>
      </c>
      <c r="C61" s="3" t="s">
        <v>111</v>
      </c>
      <c r="D61" s="2" t="s">
        <v>112</v>
      </c>
      <c r="E61" s="3" t="s">
        <v>218</v>
      </c>
      <c r="F61" s="4">
        <v>1</v>
      </c>
      <c r="G61" s="4">
        <v>350</v>
      </c>
      <c r="H61" s="4"/>
      <c r="I61" s="4"/>
      <c r="J61" s="4"/>
      <c r="K61" s="4">
        <v>350</v>
      </c>
      <c r="L61" s="2" t="s">
        <v>24</v>
      </c>
      <c r="M61" s="3" t="s">
        <v>148</v>
      </c>
    </row>
    <row r="62" spans="1:13">
      <c r="A62" s="2" t="s">
        <v>210</v>
      </c>
      <c r="B62" s="2" t="s">
        <v>110</v>
      </c>
      <c r="C62" s="3" t="s">
        <v>219</v>
      </c>
      <c r="D62" s="2" t="s">
        <v>41</v>
      </c>
      <c r="E62" s="3" t="s">
        <v>220</v>
      </c>
      <c r="F62" s="4">
        <v>4</v>
      </c>
      <c r="G62" s="4" t="s">
        <v>221</v>
      </c>
      <c r="H62" s="4">
        <v>260</v>
      </c>
      <c r="I62" s="4"/>
      <c r="J62" s="4"/>
      <c r="K62" s="4"/>
      <c r="L62" s="2" t="s">
        <v>31</v>
      </c>
      <c r="M62" s="3" t="s">
        <v>64</v>
      </c>
    </row>
    <row r="63" spans="1:13">
      <c r="A63" s="38" t="s">
        <v>222</v>
      </c>
      <c r="B63" s="39"/>
      <c r="C63" s="39"/>
      <c r="D63" s="39"/>
      <c r="E63" s="14" t="s">
        <v>223</v>
      </c>
      <c r="F63" s="14"/>
      <c r="G63" s="14"/>
      <c r="H63" s="15">
        <v>790</v>
      </c>
      <c r="I63" s="15">
        <v>375</v>
      </c>
      <c r="J63" s="15">
        <v>770</v>
      </c>
      <c r="K63" s="15">
        <v>350</v>
      </c>
      <c r="L63" s="14"/>
      <c r="M63" s="14" t="s">
        <v>156</v>
      </c>
    </row>
    <row r="64" spans="1:13">
      <c r="A64" s="38"/>
      <c r="B64" s="39"/>
      <c r="C64" s="39"/>
      <c r="D64" s="39"/>
      <c r="E64" s="14" t="s">
        <v>224</v>
      </c>
      <c r="F64" s="14"/>
      <c r="G64" s="14"/>
      <c r="H64" s="15">
        <v>8265</v>
      </c>
      <c r="I64" s="15">
        <v>12835</v>
      </c>
      <c r="J64" s="15">
        <v>7465</v>
      </c>
      <c r="K64" s="15">
        <v>4050</v>
      </c>
      <c r="L64" s="14"/>
      <c r="M64" s="14" t="s">
        <v>225</v>
      </c>
    </row>
  </sheetData>
  <mergeCells count="13">
    <mergeCell ref="L1:M1"/>
    <mergeCell ref="A64:D64"/>
    <mergeCell ref="A41:D41"/>
    <mergeCell ref="A19:D19"/>
    <mergeCell ref="A11:D11"/>
    <mergeCell ref="H1:K1"/>
    <mergeCell ref="A63:D63"/>
    <mergeCell ref="E1:G1"/>
    <mergeCell ref="A1:D1"/>
    <mergeCell ref="A56:D56"/>
    <mergeCell ref="A27:D27"/>
    <mergeCell ref="A34:D34"/>
    <mergeCell ref="A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4" customWidth="1"/>
    <col min="3" max="3" width="12" customWidth="1"/>
    <col min="4" max="4" width="15" customWidth="1"/>
    <col min="5" max="5" width="14" customWidth="1"/>
    <col min="6" max="6" width="25" customWidth="1"/>
    <col min="7" max="7" width="15" customWidth="1"/>
    <col min="8" max="8" width="20" customWidth="1"/>
    <col min="9" max="9" width="11" customWidth="1"/>
    <col min="10" max="10" width="18" customWidth="1"/>
    <col min="11" max="11" width="32" customWidth="1"/>
    <col min="12" max="12" width="12" customWidth="1"/>
    <col min="13" max="13" width="13" customWidth="1"/>
    <col min="14" max="14" width="16" customWidth="1"/>
    <col min="15" max="15" width="18" customWidth="1"/>
    <col min="16" max="16" width="16" customWidth="1"/>
    <col min="17" max="17" width="35" customWidth="1"/>
    <col min="18" max="18" width="55" customWidth="1"/>
  </cols>
  <sheetData>
    <row r="1" spans="1:18" ht="25.5">
      <c r="A1" s="16" t="s">
        <v>226</v>
      </c>
      <c r="B1" s="16" t="s">
        <v>227</v>
      </c>
      <c r="C1" s="16" t="s">
        <v>228</v>
      </c>
      <c r="D1" s="16" t="s">
        <v>229</v>
      </c>
      <c r="E1" s="16" t="s">
        <v>230</v>
      </c>
      <c r="F1" s="16" t="s">
        <v>231</v>
      </c>
      <c r="G1" s="16" t="s">
        <v>232</v>
      </c>
      <c r="H1" s="16" t="s">
        <v>233</v>
      </c>
      <c r="I1" s="16" t="s">
        <v>234</v>
      </c>
      <c r="J1" s="16" t="s">
        <v>235</v>
      </c>
      <c r="K1" s="16" t="s">
        <v>236</v>
      </c>
      <c r="L1" s="16" t="s">
        <v>237</v>
      </c>
      <c r="M1" s="16" t="s">
        <v>238</v>
      </c>
      <c r="N1" s="16" t="s">
        <v>239</v>
      </c>
      <c r="O1" s="16" t="s">
        <v>240</v>
      </c>
      <c r="P1" s="16" t="s">
        <v>241</v>
      </c>
      <c r="Q1" s="16" t="s">
        <v>242</v>
      </c>
      <c r="R1" s="16" t="s">
        <v>243</v>
      </c>
    </row>
    <row r="2" spans="1:18">
      <c r="A2" s="17" t="s">
        <v>244</v>
      </c>
      <c r="B2" s="17" t="s">
        <v>245</v>
      </c>
      <c r="C2" s="17" t="s">
        <v>246</v>
      </c>
      <c r="D2" s="18" t="s">
        <v>247</v>
      </c>
      <c r="E2" s="17" t="s">
        <v>248</v>
      </c>
      <c r="F2" s="18" t="s">
        <v>249</v>
      </c>
      <c r="G2" s="17" t="s">
        <v>250</v>
      </c>
      <c r="H2" s="18" t="s">
        <v>251</v>
      </c>
      <c r="I2" s="17">
        <v>1</v>
      </c>
      <c r="J2" s="18" t="s">
        <v>252</v>
      </c>
      <c r="K2" s="18" t="s">
        <v>253</v>
      </c>
      <c r="L2" s="19">
        <v>1</v>
      </c>
      <c r="M2" s="19">
        <v>350</v>
      </c>
      <c r="N2" s="20">
        <f t="shared" ref="N2:N33" si="0">L2*M2</f>
        <v>350</v>
      </c>
      <c r="O2" s="17" t="s">
        <v>254</v>
      </c>
      <c r="P2" s="17">
        <v>5</v>
      </c>
      <c r="Q2" s="18" t="s">
        <v>255</v>
      </c>
      <c r="R2" s="18" t="s">
        <v>256</v>
      </c>
    </row>
    <row r="3" spans="1:18">
      <c r="A3" s="21" t="s">
        <v>244</v>
      </c>
      <c r="B3" s="21" t="s">
        <v>245</v>
      </c>
      <c r="C3" s="21" t="s">
        <v>246</v>
      </c>
      <c r="D3" s="22" t="s">
        <v>247</v>
      </c>
      <c r="E3" s="21" t="s">
        <v>248</v>
      </c>
      <c r="F3" s="22" t="s">
        <v>249</v>
      </c>
      <c r="G3" s="21" t="s">
        <v>250</v>
      </c>
      <c r="H3" s="22" t="s">
        <v>251</v>
      </c>
      <c r="I3" s="21">
        <v>2</v>
      </c>
      <c r="J3" s="22" t="s">
        <v>257</v>
      </c>
      <c r="K3" s="22" t="s">
        <v>258</v>
      </c>
      <c r="L3" s="23">
        <v>1</v>
      </c>
      <c r="M3" s="23">
        <v>25</v>
      </c>
      <c r="N3" s="24">
        <f t="shared" si="0"/>
        <v>25</v>
      </c>
      <c r="O3" s="21" t="s">
        <v>254</v>
      </c>
      <c r="P3" s="21">
        <v>5</v>
      </c>
      <c r="Q3" s="22" t="s">
        <v>259</v>
      </c>
      <c r="R3" s="22" t="s">
        <v>260</v>
      </c>
    </row>
    <row r="4" spans="1:18">
      <c r="A4" s="17" t="s">
        <v>261</v>
      </c>
      <c r="B4" s="17" t="s">
        <v>245</v>
      </c>
      <c r="C4" s="17" t="s">
        <v>246</v>
      </c>
      <c r="D4" s="18" t="s">
        <v>247</v>
      </c>
      <c r="E4" s="17" t="s">
        <v>262</v>
      </c>
      <c r="F4" s="18" t="s">
        <v>263</v>
      </c>
      <c r="G4" s="17" t="s">
        <v>162</v>
      </c>
      <c r="H4" s="18" t="s">
        <v>264</v>
      </c>
      <c r="I4" s="17">
        <v>1</v>
      </c>
      <c r="J4" s="18" t="s">
        <v>252</v>
      </c>
      <c r="K4" s="18" t="s">
        <v>265</v>
      </c>
      <c r="L4" s="19">
        <v>2</v>
      </c>
      <c r="M4" s="19">
        <v>85</v>
      </c>
      <c r="N4" s="20">
        <f t="shared" si="0"/>
        <v>170</v>
      </c>
      <c r="O4" s="17" t="s">
        <v>254</v>
      </c>
      <c r="P4" s="17">
        <v>5</v>
      </c>
      <c r="Q4" s="18" t="s">
        <v>266</v>
      </c>
      <c r="R4" s="18" t="s">
        <v>267</v>
      </c>
    </row>
    <row r="5" spans="1:18">
      <c r="A5" s="21" t="s">
        <v>261</v>
      </c>
      <c r="B5" s="21" t="s">
        <v>245</v>
      </c>
      <c r="C5" s="21" t="s">
        <v>246</v>
      </c>
      <c r="D5" s="22" t="s">
        <v>247</v>
      </c>
      <c r="E5" s="21" t="s">
        <v>262</v>
      </c>
      <c r="F5" s="22" t="s">
        <v>263</v>
      </c>
      <c r="G5" s="21" t="s">
        <v>162</v>
      </c>
      <c r="H5" s="22" t="s">
        <v>264</v>
      </c>
      <c r="I5" s="21">
        <v>2</v>
      </c>
      <c r="J5" s="22" t="s">
        <v>268</v>
      </c>
      <c r="K5" s="22" t="s">
        <v>269</v>
      </c>
      <c r="L5" s="23">
        <v>1</v>
      </c>
      <c r="M5" s="23">
        <v>65</v>
      </c>
      <c r="N5" s="24">
        <f t="shared" si="0"/>
        <v>65</v>
      </c>
      <c r="O5" s="21" t="s">
        <v>254</v>
      </c>
      <c r="P5" s="21">
        <v>5</v>
      </c>
      <c r="Q5" s="22" t="s">
        <v>270</v>
      </c>
      <c r="R5" s="22" t="s">
        <v>271</v>
      </c>
    </row>
    <row r="6" spans="1:18">
      <c r="A6" s="17" t="s">
        <v>272</v>
      </c>
      <c r="B6" s="17" t="s">
        <v>245</v>
      </c>
      <c r="C6" s="17" t="s">
        <v>246</v>
      </c>
      <c r="D6" s="18" t="s">
        <v>247</v>
      </c>
      <c r="E6" s="17" t="s">
        <v>273</v>
      </c>
      <c r="F6" s="18" t="s">
        <v>274</v>
      </c>
      <c r="G6" s="17" t="s">
        <v>34</v>
      </c>
      <c r="H6" s="18" t="s">
        <v>275</v>
      </c>
      <c r="I6" s="17">
        <v>1</v>
      </c>
      <c r="J6" s="18" t="s">
        <v>252</v>
      </c>
      <c r="K6" s="18" t="s">
        <v>276</v>
      </c>
      <c r="L6" s="19">
        <v>1</v>
      </c>
      <c r="M6" s="19">
        <v>650</v>
      </c>
      <c r="N6" s="20">
        <f t="shared" si="0"/>
        <v>650</v>
      </c>
      <c r="O6" s="17" t="s">
        <v>277</v>
      </c>
      <c r="P6" s="17">
        <v>4</v>
      </c>
      <c r="Q6" s="18" t="s">
        <v>278</v>
      </c>
      <c r="R6" s="18" t="s">
        <v>279</v>
      </c>
    </row>
    <row r="7" spans="1:18">
      <c r="A7" s="21" t="s">
        <v>280</v>
      </c>
      <c r="B7" s="21" t="s">
        <v>245</v>
      </c>
      <c r="C7" s="21" t="s">
        <v>246</v>
      </c>
      <c r="D7" s="22" t="s">
        <v>247</v>
      </c>
      <c r="E7" s="21" t="s">
        <v>281</v>
      </c>
      <c r="F7" s="22" t="s">
        <v>282</v>
      </c>
      <c r="G7" s="21" t="s">
        <v>162</v>
      </c>
      <c r="H7" s="22" t="s">
        <v>283</v>
      </c>
      <c r="I7" s="21">
        <v>1</v>
      </c>
      <c r="J7" s="22" t="s">
        <v>252</v>
      </c>
      <c r="K7" s="22" t="s">
        <v>284</v>
      </c>
      <c r="L7" s="23">
        <v>4</v>
      </c>
      <c r="M7" s="23">
        <v>45</v>
      </c>
      <c r="N7" s="24">
        <f t="shared" si="0"/>
        <v>180</v>
      </c>
      <c r="O7" s="21" t="s">
        <v>254</v>
      </c>
      <c r="P7" s="21">
        <v>5</v>
      </c>
      <c r="Q7" s="22" t="s">
        <v>41</v>
      </c>
      <c r="R7" s="22" t="s">
        <v>285</v>
      </c>
    </row>
    <row r="8" spans="1:18">
      <c r="A8" s="17" t="s">
        <v>286</v>
      </c>
      <c r="B8" s="17" t="s">
        <v>245</v>
      </c>
      <c r="C8" s="17" t="s">
        <v>246</v>
      </c>
      <c r="D8" s="18" t="s">
        <v>247</v>
      </c>
      <c r="E8" s="17" t="s">
        <v>287</v>
      </c>
      <c r="F8" s="18" t="s">
        <v>288</v>
      </c>
      <c r="G8" s="17" t="s">
        <v>289</v>
      </c>
      <c r="H8" s="18" t="s">
        <v>290</v>
      </c>
      <c r="I8" s="17">
        <v>1</v>
      </c>
      <c r="J8" s="18" t="s">
        <v>252</v>
      </c>
      <c r="K8" s="18" t="s">
        <v>291</v>
      </c>
      <c r="L8" s="19">
        <v>1</v>
      </c>
      <c r="M8" s="19">
        <v>590</v>
      </c>
      <c r="N8" s="20">
        <f t="shared" si="0"/>
        <v>590</v>
      </c>
      <c r="O8" s="17" t="s">
        <v>254</v>
      </c>
      <c r="P8" s="17">
        <v>5</v>
      </c>
      <c r="Q8" s="18" t="s">
        <v>292</v>
      </c>
      <c r="R8" s="18" t="s">
        <v>293</v>
      </c>
    </row>
    <row r="9" spans="1:18">
      <c r="A9" s="21" t="s">
        <v>294</v>
      </c>
      <c r="B9" s="21" t="s">
        <v>245</v>
      </c>
      <c r="C9" s="21" t="s">
        <v>246</v>
      </c>
      <c r="D9" s="22" t="s">
        <v>247</v>
      </c>
      <c r="E9" s="21" t="s">
        <v>295</v>
      </c>
      <c r="F9" s="22" t="s">
        <v>296</v>
      </c>
      <c r="G9" s="21" t="s">
        <v>297</v>
      </c>
      <c r="H9" s="22" t="s">
        <v>275</v>
      </c>
      <c r="I9" s="21">
        <v>1</v>
      </c>
      <c r="J9" s="22" t="s">
        <v>252</v>
      </c>
      <c r="K9" s="22" t="s">
        <v>145</v>
      </c>
      <c r="L9" s="23">
        <v>1</v>
      </c>
      <c r="M9" s="23">
        <v>420</v>
      </c>
      <c r="N9" s="24">
        <f t="shared" si="0"/>
        <v>420</v>
      </c>
      <c r="O9" s="21" t="s">
        <v>298</v>
      </c>
      <c r="P9" s="21">
        <v>3</v>
      </c>
      <c r="Q9" s="22" t="s">
        <v>299</v>
      </c>
      <c r="R9" s="22" t="s">
        <v>300</v>
      </c>
    </row>
    <row r="10" spans="1:18">
      <c r="A10" s="17" t="s">
        <v>301</v>
      </c>
      <c r="B10" s="17" t="s">
        <v>245</v>
      </c>
      <c r="C10" s="17" t="s">
        <v>246</v>
      </c>
      <c r="D10" s="18" t="s">
        <v>247</v>
      </c>
      <c r="E10" s="17" t="s">
        <v>302</v>
      </c>
      <c r="F10" s="18" t="s">
        <v>303</v>
      </c>
      <c r="G10" s="17" t="s">
        <v>162</v>
      </c>
      <c r="H10" s="18" t="s">
        <v>264</v>
      </c>
      <c r="I10" s="17">
        <v>1</v>
      </c>
      <c r="J10" s="18" t="s">
        <v>252</v>
      </c>
      <c r="K10" s="18" t="s">
        <v>304</v>
      </c>
      <c r="L10" s="19">
        <v>2</v>
      </c>
      <c r="M10" s="19">
        <v>65</v>
      </c>
      <c r="N10" s="20">
        <f t="shared" si="0"/>
        <v>130</v>
      </c>
      <c r="O10" s="17" t="s">
        <v>254</v>
      </c>
      <c r="P10" s="17">
        <v>5</v>
      </c>
      <c r="Q10" s="18" t="s">
        <v>41</v>
      </c>
      <c r="R10" s="18" t="s">
        <v>305</v>
      </c>
    </row>
    <row r="11" spans="1:18">
      <c r="A11" s="21" t="s">
        <v>301</v>
      </c>
      <c r="B11" s="21" t="s">
        <v>245</v>
      </c>
      <c r="C11" s="21" t="s">
        <v>246</v>
      </c>
      <c r="D11" s="22" t="s">
        <v>247</v>
      </c>
      <c r="E11" s="21" t="s">
        <v>302</v>
      </c>
      <c r="F11" s="22" t="s">
        <v>303</v>
      </c>
      <c r="G11" s="21" t="s">
        <v>162</v>
      </c>
      <c r="H11" s="22" t="s">
        <v>264</v>
      </c>
      <c r="I11" s="21">
        <v>2</v>
      </c>
      <c r="J11" s="22" t="s">
        <v>268</v>
      </c>
      <c r="K11" s="22" t="s">
        <v>306</v>
      </c>
      <c r="L11" s="23">
        <v>2</v>
      </c>
      <c r="M11" s="23">
        <v>95</v>
      </c>
      <c r="N11" s="24">
        <f t="shared" si="0"/>
        <v>190</v>
      </c>
      <c r="O11" s="21" t="s">
        <v>254</v>
      </c>
      <c r="P11" s="21">
        <v>5</v>
      </c>
      <c r="Q11" s="22" t="s">
        <v>307</v>
      </c>
      <c r="R11" s="22" t="s">
        <v>308</v>
      </c>
    </row>
    <row r="12" spans="1:18">
      <c r="A12" s="17" t="s">
        <v>309</v>
      </c>
      <c r="B12" s="17" t="s">
        <v>245</v>
      </c>
      <c r="C12" s="17" t="s">
        <v>246</v>
      </c>
      <c r="D12" s="18" t="s">
        <v>247</v>
      </c>
      <c r="E12" s="17" t="s">
        <v>310</v>
      </c>
      <c r="F12" s="18" t="s">
        <v>311</v>
      </c>
      <c r="G12" s="17" t="s">
        <v>312</v>
      </c>
      <c r="H12" s="18" t="s">
        <v>313</v>
      </c>
      <c r="I12" s="17">
        <v>1</v>
      </c>
      <c r="J12" s="18" t="s">
        <v>314</v>
      </c>
      <c r="K12" s="18" t="s">
        <v>315</v>
      </c>
      <c r="L12" s="19">
        <v>30</v>
      </c>
      <c r="M12" s="19">
        <v>120</v>
      </c>
      <c r="N12" s="20">
        <f t="shared" si="0"/>
        <v>3600</v>
      </c>
      <c r="O12" s="17" t="s">
        <v>316</v>
      </c>
      <c r="P12" s="17">
        <v>5</v>
      </c>
      <c r="Q12" s="18" t="s">
        <v>317</v>
      </c>
      <c r="R12" s="18" t="s">
        <v>318</v>
      </c>
    </row>
    <row r="13" spans="1:18">
      <c r="A13" s="21" t="s">
        <v>319</v>
      </c>
      <c r="B13" s="21" t="s">
        <v>74</v>
      </c>
      <c r="C13" s="21" t="s">
        <v>320</v>
      </c>
      <c r="D13" s="22" t="s">
        <v>321</v>
      </c>
      <c r="E13" s="21" t="s">
        <v>248</v>
      </c>
      <c r="F13" s="22" t="s">
        <v>249</v>
      </c>
      <c r="G13" s="21" t="s">
        <v>250</v>
      </c>
      <c r="H13" s="22" t="s">
        <v>251</v>
      </c>
      <c r="I13" s="21">
        <v>1</v>
      </c>
      <c r="J13" s="22" t="s">
        <v>252</v>
      </c>
      <c r="K13" s="22" t="s">
        <v>218</v>
      </c>
      <c r="L13" s="23">
        <v>1</v>
      </c>
      <c r="M13" s="23">
        <v>350</v>
      </c>
      <c r="N13" s="24">
        <f t="shared" si="0"/>
        <v>350</v>
      </c>
      <c r="O13" s="21" t="s">
        <v>254</v>
      </c>
      <c r="P13" s="21">
        <v>5</v>
      </c>
      <c r="Q13" s="22" t="s">
        <v>322</v>
      </c>
      <c r="R13" s="22" t="s">
        <v>323</v>
      </c>
    </row>
    <row r="14" spans="1:18">
      <c r="A14" s="17" t="s">
        <v>324</v>
      </c>
      <c r="B14" s="17" t="s">
        <v>74</v>
      </c>
      <c r="C14" s="17" t="s">
        <v>320</v>
      </c>
      <c r="D14" s="18" t="s">
        <v>321</v>
      </c>
      <c r="E14" s="17" t="s">
        <v>325</v>
      </c>
      <c r="F14" s="18" t="s">
        <v>326</v>
      </c>
      <c r="G14" s="17" t="s">
        <v>327</v>
      </c>
      <c r="H14" s="18" t="s">
        <v>275</v>
      </c>
      <c r="I14" s="17">
        <v>1</v>
      </c>
      <c r="J14" s="18" t="s">
        <v>252</v>
      </c>
      <c r="K14" s="18" t="s">
        <v>253</v>
      </c>
      <c r="L14" s="19">
        <v>2</v>
      </c>
      <c r="M14" s="19">
        <v>350</v>
      </c>
      <c r="N14" s="20">
        <f t="shared" si="0"/>
        <v>700</v>
      </c>
      <c r="O14" s="17" t="s">
        <v>254</v>
      </c>
      <c r="P14" s="17">
        <v>4</v>
      </c>
      <c r="Q14" s="18" t="s">
        <v>41</v>
      </c>
      <c r="R14" s="18" t="s">
        <v>328</v>
      </c>
    </row>
    <row r="15" spans="1:18">
      <c r="A15" s="21" t="s">
        <v>324</v>
      </c>
      <c r="B15" s="21" t="s">
        <v>74</v>
      </c>
      <c r="C15" s="21" t="s">
        <v>320</v>
      </c>
      <c r="D15" s="22" t="s">
        <v>321</v>
      </c>
      <c r="E15" s="21" t="s">
        <v>325</v>
      </c>
      <c r="F15" s="22" t="s">
        <v>326</v>
      </c>
      <c r="G15" s="21" t="s">
        <v>327</v>
      </c>
      <c r="H15" s="22" t="s">
        <v>275</v>
      </c>
      <c r="I15" s="21">
        <v>2</v>
      </c>
      <c r="J15" s="22" t="s">
        <v>257</v>
      </c>
      <c r="K15" s="22" t="s">
        <v>258</v>
      </c>
      <c r="L15" s="23">
        <v>2</v>
      </c>
      <c r="M15" s="23">
        <v>25</v>
      </c>
      <c r="N15" s="24">
        <f t="shared" si="0"/>
        <v>50</v>
      </c>
      <c r="O15" s="21" t="s">
        <v>254</v>
      </c>
      <c r="P15" s="21">
        <v>4</v>
      </c>
      <c r="Q15" s="22" t="s">
        <v>41</v>
      </c>
      <c r="R15" s="22" t="s">
        <v>329</v>
      </c>
    </row>
    <row r="16" spans="1:18">
      <c r="A16" s="17" t="s">
        <v>330</v>
      </c>
      <c r="B16" s="17" t="s">
        <v>74</v>
      </c>
      <c r="C16" s="17" t="s">
        <v>320</v>
      </c>
      <c r="D16" s="18" t="s">
        <v>321</v>
      </c>
      <c r="E16" s="17" t="s">
        <v>281</v>
      </c>
      <c r="F16" s="18" t="s">
        <v>331</v>
      </c>
      <c r="G16" s="17" t="s">
        <v>162</v>
      </c>
      <c r="H16" s="18" t="s">
        <v>264</v>
      </c>
      <c r="I16" s="17">
        <v>1</v>
      </c>
      <c r="J16" s="18" t="s">
        <v>268</v>
      </c>
      <c r="K16" s="18" t="s">
        <v>306</v>
      </c>
      <c r="L16" s="19">
        <v>1</v>
      </c>
      <c r="M16" s="19">
        <v>95</v>
      </c>
      <c r="N16" s="20">
        <f t="shared" si="0"/>
        <v>95</v>
      </c>
      <c r="O16" s="17" t="s">
        <v>254</v>
      </c>
      <c r="P16" s="17">
        <v>4</v>
      </c>
      <c r="Q16" s="18" t="s">
        <v>41</v>
      </c>
      <c r="R16" s="18" t="s">
        <v>332</v>
      </c>
    </row>
    <row r="17" spans="1:18">
      <c r="A17" s="21" t="s">
        <v>330</v>
      </c>
      <c r="B17" s="21" t="s">
        <v>74</v>
      </c>
      <c r="C17" s="21" t="s">
        <v>320</v>
      </c>
      <c r="D17" s="22" t="s">
        <v>321</v>
      </c>
      <c r="E17" s="21" t="s">
        <v>281</v>
      </c>
      <c r="F17" s="22" t="s">
        <v>331</v>
      </c>
      <c r="G17" s="21" t="s">
        <v>162</v>
      </c>
      <c r="H17" s="22" t="s">
        <v>264</v>
      </c>
      <c r="I17" s="21">
        <v>2</v>
      </c>
      <c r="J17" s="22" t="s">
        <v>268</v>
      </c>
      <c r="K17" s="22" t="s">
        <v>333</v>
      </c>
      <c r="L17" s="23">
        <v>1</v>
      </c>
      <c r="M17" s="23">
        <v>85</v>
      </c>
      <c r="N17" s="24">
        <f t="shared" si="0"/>
        <v>85</v>
      </c>
      <c r="O17" s="21" t="s">
        <v>254</v>
      </c>
      <c r="P17" s="21">
        <v>4</v>
      </c>
      <c r="Q17" s="22" t="s">
        <v>334</v>
      </c>
      <c r="R17" s="22" t="s">
        <v>335</v>
      </c>
    </row>
    <row r="18" spans="1:18">
      <c r="A18" s="17" t="s">
        <v>336</v>
      </c>
      <c r="B18" s="17" t="s">
        <v>74</v>
      </c>
      <c r="C18" s="17" t="s">
        <v>320</v>
      </c>
      <c r="D18" s="18" t="s">
        <v>321</v>
      </c>
      <c r="E18" s="17" t="s">
        <v>337</v>
      </c>
      <c r="F18" s="18" t="s">
        <v>338</v>
      </c>
      <c r="G18" s="17" t="s">
        <v>89</v>
      </c>
      <c r="H18" s="18" t="s">
        <v>251</v>
      </c>
      <c r="I18" s="17">
        <v>1</v>
      </c>
      <c r="J18" s="18" t="s">
        <v>252</v>
      </c>
      <c r="K18" s="18" t="s">
        <v>265</v>
      </c>
      <c r="L18" s="19">
        <v>4</v>
      </c>
      <c r="M18" s="19">
        <v>85</v>
      </c>
      <c r="N18" s="20">
        <f t="shared" si="0"/>
        <v>340</v>
      </c>
      <c r="O18" s="17" t="s">
        <v>254</v>
      </c>
      <c r="P18" s="17">
        <v>5</v>
      </c>
      <c r="Q18" s="18" t="s">
        <v>339</v>
      </c>
      <c r="R18" s="18" t="s">
        <v>340</v>
      </c>
    </row>
    <row r="19" spans="1:18">
      <c r="A19" s="21" t="s">
        <v>341</v>
      </c>
      <c r="B19" s="21" t="s">
        <v>74</v>
      </c>
      <c r="C19" s="21" t="s">
        <v>320</v>
      </c>
      <c r="D19" s="22" t="s">
        <v>321</v>
      </c>
      <c r="E19" s="21" t="s">
        <v>342</v>
      </c>
      <c r="F19" s="22" t="s">
        <v>343</v>
      </c>
      <c r="G19" s="21" t="s">
        <v>344</v>
      </c>
      <c r="H19" s="22" t="s">
        <v>275</v>
      </c>
      <c r="I19" s="21">
        <v>1</v>
      </c>
      <c r="J19" s="22" t="s">
        <v>252</v>
      </c>
      <c r="K19" s="22" t="s">
        <v>291</v>
      </c>
      <c r="L19" s="23">
        <v>2</v>
      </c>
      <c r="M19" s="23">
        <v>590</v>
      </c>
      <c r="N19" s="24">
        <f t="shared" si="0"/>
        <v>1180</v>
      </c>
      <c r="O19" s="21" t="s">
        <v>277</v>
      </c>
      <c r="P19" s="21">
        <v>4</v>
      </c>
      <c r="Q19" s="22" t="s">
        <v>345</v>
      </c>
      <c r="R19" s="22" t="s">
        <v>346</v>
      </c>
    </row>
    <row r="20" spans="1:18">
      <c r="A20" s="17" t="s">
        <v>347</v>
      </c>
      <c r="B20" s="17" t="s">
        <v>74</v>
      </c>
      <c r="C20" s="17" t="s">
        <v>320</v>
      </c>
      <c r="D20" s="18" t="s">
        <v>321</v>
      </c>
      <c r="E20" s="17" t="s">
        <v>348</v>
      </c>
      <c r="F20" s="18" t="s">
        <v>349</v>
      </c>
      <c r="G20" s="17" t="s">
        <v>350</v>
      </c>
      <c r="H20" s="18" t="s">
        <v>283</v>
      </c>
      <c r="I20" s="17">
        <v>1</v>
      </c>
      <c r="J20" s="18" t="s">
        <v>252</v>
      </c>
      <c r="K20" s="18" t="s">
        <v>284</v>
      </c>
      <c r="L20" s="19">
        <v>6</v>
      </c>
      <c r="M20" s="19">
        <v>45</v>
      </c>
      <c r="N20" s="20">
        <f t="shared" si="0"/>
        <v>270</v>
      </c>
      <c r="O20" s="17" t="s">
        <v>254</v>
      </c>
      <c r="P20" s="17">
        <v>4</v>
      </c>
      <c r="Q20" s="18" t="s">
        <v>351</v>
      </c>
      <c r="R20" s="18" t="s">
        <v>352</v>
      </c>
    </row>
    <row r="21" spans="1:18">
      <c r="A21" s="21" t="s">
        <v>353</v>
      </c>
      <c r="B21" s="21" t="s">
        <v>74</v>
      </c>
      <c r="C21" s="21" t="s">
        <v>320</v>
      </c>
      <c r="D21" s="22" t="s">
        <v>321</v>
      </c>
      <c r="E21" s="21" t="s">
        <v>354</v>
      </c>
      <c r="F21" s="22" t="s">
        <v>355</v>
      </c>
      <c r="G21" s="21" t="s">
        <v>356</v>
      </c>
      <c r="H21" s="22" t="s">
        <v>290</v>
      </c>
      <c r="I21" s="21">
        <v>1</v>
      </c>
      <c r="J21" s="22" t="s">
        <v>252</v>
      </c>
      <c r="K21" s="22" t="s">
        <v>145</v>
      </c>
      <c r="L21" s="23">
        <v>1</v>
      </c>
      <c r="M21" s="23">
        <v>420</v>
      </c>
      <c r="N21" s="24">
        <f t="shared" si="0"/>
        <v>420</v>
      </c>
      <c r="O21" s="21" t="s">
        <v>254</v>
      </c>
      <c r="P21" s="21">
        <v>5</v>
      </c>
      <c r="Q21" s="22" t="s">
        <v>41</v>
      </c>
      <c r="R21" s="22" t="s">
        <v>357</v>
      </c>
    </row>
    <row r="22" spans="1:18">
      <c r="A22" s="17" t="s">
        <v>353</v>
      </c>
      <c r="B22" s="17" t="s">
        <v>74</v>
      </c>
      <c r="C22" s="17" t="s">
        <v>320</v>
      </c>
      <c r="D22" s="18" t="s">
        <v>321</v>
      </c>
      <c r="E22" s="17" t="s">
        <v>354</v>
      </c>
      <c r="F22" s="18" t="s">
        <v>355</v>
      </c>
      <c r="G22" s="17" t="s">
        <v>356</v>
      </c>
      <c r="H22" s="18" t="s">
        <v>290</v>
      </c>
      <c r="I22" s="17">
        <v>2</v>
      </c>
      <c r="J22" s="18" t="s">
        <v>257</v>
      </c>
      <c r="K22" s="18" t="s">
        <v>358</v>
      </c>
      <c r="L22" s="19">
        <v>1</v>
      </c>
      <c r="M22" s="19">
        <v>30</v>
      </c>
      <c r="N22" s="20">
        <f t="shared" si="0"/>
        <v>30</v>
      </c>
      <c r="O22" s="17" t="s">
        <v>254</v>
      </c>
      <c r="P22" s="17">
        <v>5</v>
      </c>
      <c r="Q22" s="18" t="s">
        <v>41</v>
      </c>
      <c r="R22" s="18" t="s">
        <v>359</v>
      </c>
    </row>
    <row r="23" spans="1:18">
      <c r="A23" s="21" t="s">
        <v>360</v>
      </c>
      <c r="B23" s="21" t="s">
        <v>361</v>
      </c>
      <c r="C23" s="21" t="s">
        <v>362</v>
      </c>
      <c r="D23" s="22" t="s">
        <v>363</v>
      </c>
      <c r="E23" s="21" t="s">
        <v>364</v>
      </c>
      <c r="F23" s="22" t="s">
        <v>365</v>
      </c>
      <c r="G23" s="21" t="s">
        <v>366</v>
      </c>
      <c r="H23" s="22" t="s">
        <v>251</v>
      </c>
      <c r="I23" s="21">
        <v>1</v>
      </c>
      <c r="J23" s="22" t="s">
        <v>252</v>
      </c>
      <c r="K23" s="22" t="s">
        <v>253</v>
      </c>
      <c r="L23" s="23">
        <v>1</v>
      </c>
      <c r="M23" s="23">
        <v>350</v>
      </c>
      <c r="N23" s="24">
        <f t="shared" si="0"/>
        <v>350</v>
      </c>
      <c r="O23" s="21" t="s">
        <v>254</v>
      </c>
      <c r="P23" s="21">
        <v>5</v>
      </c>
      <c r="Q23" s="22" t="s">
        <v>367</v>
      </c>
      <c r="R23" s="22" t="s">
        <v>368</v>
      </c>
    </row>
    <row r="24" spans="1:18">
      <c r="A24" s="17" t="s">
        <v>360</v>
      </c>
      <c r="B24" s="17" t="s">
        <v>361</v>
      </c>
      <c r="C24" s="17" t="s">
        <v>362</v>
      </c>
      <c r="D24" s="18" t="s">
        <v>363</v>
      </c>
      <c r="E24" s="17" t="s">
        <v>364</v>
      </c>
      <c r="F24" s="18" t="s">
        <v>365</v>
      </c>
      <c r="G24" s="17" t="s">
        <v>366</v>
      </c>
      <c r="H24" s="18" t="s">
        <v>251</v>
      </c>
      <c r="I24" s="17">
        <v>2</v>
      </c>
      <c r="J24" s="18" t="s">
        <v>257</v>
      </c>
      <c r="K24" s="18" t="s">
        <v>258</v>
      </c>
      <c r="L24" s="19">
        <v>1</v>
      </c>
      <c r="M24" s="19">
        <v>25</v>
      </c>
      <c r="N24" s="20">
        <f t="shared" si="0"/>
        <v>25</v>
      </c>
      <c r="O24" s="17" t="s">
        <v>254</v>
      </c>
      <c r="P24" s="17">
        <v>5</v>
      </c>
      <c r="Q24" s="18" t="s">
        <v>41</v>
      </c>
      <c r="R24" s="18" t="s">
        <v>369</v>
      </c>
    </row>
    <row r="25" spans="1:18">
      <c r="A25" s="21" t="s">
        <v>370</v>
      </c>
      <c r="B25" s="21" t="s">
        <v>361</v>
      </c>
      <c r="C25" s="21" t="s">
        <v>362</v>
      </c>
      <c r="D25" s="22" t="s">
        <v>363</v>
      </c>
      <c r="E25" s="21" t="s">
        <v>371</v>
      </c>
      <c r="F25" s="22" t="s">
        <v>372</v>
      </c>
      <c r="G25" s="21" t="s">
        <v>116</v>
      </c>
      <c r="H25" s="22" t="s">
        <v>283</v>
      </c>
      <c r="I25" s="21">
        <v>1</v>
      </c>
      <c r="J25" s="22" t="s">
        <v>252</v>
      </c>
      <c r="K25" s="22" t="s">
        <v>304</v>
      </c>
      <c r="L25" s="23">
        <v>4</v>
      </c>
      <c r="M25" s="23">
        <v>65</v>
      </c>
      <c r="N25" s="24">
        <f t="shared" si="0"/>
        <v>260</v>
      </c>
      <c r="O25" s="21" t="s">
        <v>254</v>
      </c>
      <c r="P25" s="21">
        <v>4</v>
      </c>
      <c r="Q25" s="22" t="s">
        <v>41</v>
      </c>
      <c r="R25" s="22" t="s">
        <v>373</v>
      </c>
    </row>
    <row r="26" spans="1:18">
      <c r="A26" s="17" t="s">
        <v>374</v>
      </c>
      <c r="B26" s="17" t="s">
        <v>361</v>
      </c>
      <c r="C26" s="17" t="s">
        <v>362</v>
      </c>
      <c r="D26" s="18" t="s">
        <v>363</v>
      </c>
      <c r="E26" s="17" t="s">
        <v>375</v>
      </c>
      <c r="F26" s="18" t="s">
        <v>376</v>
      </c>
      <c r="G26" s="17" t="s">
        <v>377</v>
      </c>
      <c r="H26" s="18" t="s">
        <v>275</v>
      </c>
      <c r="I26" s="17">
        <v>1</v>
      </c>
      <c r="J26" s="18" t="s">
        <v>252</v>
      </c>
      <c r="K26" s="18" t="s">
        <v>122</v>
      </c>
      <c r="L26" s="19">
        <v>1</v>
      </c>
      <c r="M26" s="19">
        <v>350</v>
      </c>
      <c r="N26" s="20">
        <f t="shared" si="0"/>
        <v>350</v>
      </c>
      <c r="O26" s="17" t="s">
        <v>298</v>
      </c>
      <c r="P26" s="17">
        <v>1</v>
      </c>
      <c r="Q26" s="18" t="s">
        <v>378</v>
      </c>
      <c r="R26" s="18" t="s">
        <v>379</v>
      </c>
    </row>
    <row r="27" spans="1:18">
      <c r="A27" s="21" t="s">
        <v>380</v>
      </c>
      <c r="B27" s="21" t="s">
        <v>361</v>
      </c>
      <c r="C27" s="21" t="s">
        <v>362</v>
      </c>
      <c r="D27" s="22" t="s">
        <v>363</v>
      </c>
      <c r="E27" s="21" t="s">
        <v>281</v>
      </c>
      <c r="F27" s="22" t="s">
        <v>282</v>
      </c>
      <c r="G27" s="21" t="s">
        <v>162</v>
      </c>
      <c r="H27" s="22" t="s">
        <v>283</v>
      </c>
      <c r="I27" s="21">
        <v>1</v>
      </c>
      <c r="J27" s="22" t="s">
        <v>268</v>
      </c>
      <c r="K27" s="22" t="s">
        <v>269</v>
      </c>
      <c r="L27" s="23">
        <v>2</v>
      </c>
      <c r="M27" s="23">
        <v>65</v>
      </c>
      <c r="N27" s="24">
        <f t="shared" si="0"/>
        <v>130</v>
      </c>
      <c r="O27" s="21" t="s">
        <v>254</v>
      </c>
      <c r="P27" s="21">
        <v>3</v>
      </c>
      <c r="Q27" s="22" t="s">
        <v>41</v>
      </c>
      <c r="R27" s="22" t="s">
        <v>381</v>
      </c>
    </row>
    <row r="28" spans="1:18">
      <c r="A28" s="17" t="s">
        <v>380</v>
      </c>
      <c r="B28" s="17" t="s">
        <v>361</v>
      </c>
      <c r="C28" s="17" t="s">
        <v>362</v>
      </c>
      <c r="D28" s="18" t="s">
        <v>363</v>
      </c>
      <c r="E28" s="17" t="s">
        <v>281</v>
      </c>
      <c r="F28" s="18" t="s">
        <v>282</v>
      </c>
      <c r="G28" s="17" t="s">
        <v>162</v>
      </c>
      <c r="H28" s="18" t="s">
        <v>283</v>
      </c>
      <c r="I28" s="17">
        <v>2</v>
      </c>
      <c r="J28" s="18" t="s">
        <v>252</v>
      </c>
      <c r="K28" s="18" t="s">
        <v>265</v>
      </c>
      <c r="L28" s="19">
        <v>2</v>
      </c>
      <c r="M28" s="19">
        <v>85</v>
      </c>
      <c r="N28" s="20">
        <f t="shared" si="0"/>
        <v>170</v>
      </c>
      <c r="O28" s="17" t="s">
        <v>254</v>
      </c>
      <c r="P28" s="17">
        <v>3</v>
      </c>
      <c r="Q28" s="18" t="s">
        <v>41</v>
      </c>
      <c r="R28" s="18" t="s">
        <v>382</v>
      </c>
    </row>
    <row r="29" spans="1:18">
      <c r="A29" s="21" t="s">
        <v>383</v>
      </c>
      <c r="B29" s="21" t="s">
        <v>361</v>
      </c>
      <c r="C29" s="21" t="s">
        <v>362</v>
      </c>
      <c r="D29" s="22" t="s">
        <v>363</v>
      </c>
      <c r="E29" s="21" t="s">
        <v>384</v>
      </c>
      <c r="F29" s="22" t="s">
        <v>385</v>
      </c>
      <c r="G29" s="21" t="s">
        <v>386</v>
      </c>
      <c r="H29" s="22" t="s">
        <v>290</v>
      </c>
      <c r="I29" s="21">
        <v>1</v>
      </c>
      <c r="J29" s="22" t="s">
        <v>252</v>
      </c>
      <c r="K29" s="22" t="s">
        <v>291</v>
      </c>
      <c r="L29" s="23">
        <v>1</v>
      </c>
      <c r="M29" s="23">
        <v>590</v>
      </c>
      <c r="N29" s="24">
        <f t="shared" si="0"/>
        <v>590</v>
      </c>
      <c r="O29" s="21" t="s">
        <v>254</v>
      </c>
      <c r="P29" s="21">
        <v>5</v>
      </c>
      <c r="Q29" s="22" t="s">
        <v>41</v>
      </c>
      <c r="R29" s="22" t="s">
        <v>387</v>
      </c>
    </row>
    <row r="30" spans="1:18">
      <c r="A30" s="17" t="s">
        <v>383</v>
      </c>
      <c r="B30" s="17" t="s">
        <v>361</v>
      </c>
      <c r="C30" s="17" t="s">
        <v>362</v>
      </c>
      <c r="D30" s="18" t="s">
        <v>363</v>
      </c>
      <c r="E30" s="17" t="s">
        <v>384</v>
      </c>
      <c r="F30" s="18" t="s">
        <v>385</v>
      </c>
      <c r="G30" s="17" t="s">
        <v>386</v>
      </c>
      <c r="H30" s="18" t="s">
        <v>290</v>
      </c>
      <c r="I30" s="17">
        <v>2</v>
      </c>
      <c r="J30" s="18" t="s">
        <v>257</v>
      </c>
      <c r="K30" s="18" t="s">
        <v>388</v>
      </c>
      <c r="L30" s="19">
        <v>1</v>
      </c>
      <c r="M30" s="19">
        <v>40</v>
      </c>
      <c r="N30" s="20">
        <f t="shared" si="0"/>
        <v>40</v>
      </c>
      <c r="O30" s="17" t="s">
        <v>254</v>
      </c>
      <c r="P30" s="17">
        <v>5</v>
      </c>
      <c r="Q30" s="18" t="s">
        <v>41</v>
      </c>
      <c r="R30" s="18" t="s">
        <v>389</v>
      </c>
    </row>
    <row r="31" spans="1:18">
      <c r="A31" s="21" t="s">
        <v>390</v>
      </c>
      <c r="B31" s="21" t="s">
        <v>361</v>
      </c>
      <c r="C31" s="21" t="s">
        <v>362</v>
      </c>
      <c r="D31" s="22" t="s">
        <v>363</v>
      </c>
      <c r="E31" s="21" t="s">
        <v>391</v>
      </c>
      <c r="F31" s="22" t="s">
        <v>392</v>
      </c>
      <c r="G31" s="21" t="s">
        <v>393</v>
      </c>
      <c r="H31" s="22" t="s">
        <v>264</v>
      </c>
      <c r="I31" s="21">
        <v>1</v>
      </c>
      <c r="J31" s="22" t="s">
        <v>252</v>
      </c>
      <c r="K31" s="22" t="s">
        <v>284</v>
      </c>
      <c r="L31" s="23">
        <v>2</v>
      </c>
      <c r="M31" s="23">
        <v>45</v>
      </c>
      <c r="N31" s="24">
        <f t="shared" si="0"/>
        <v>90</v>
      </c>
      <c r="O31" s="21" t="s">
        <v>254</v>
      </c>
      <c r="P31" s="21">
        <v>5</v>
      </c>
      <c r="Q31" s="22" t="s">
        <v>41</v>
      </c>
      <c r="R31" s="22" t="s">
        <v>394</v>
      </c>
    </row>
    <row r="32" spans="1:18">
      <c r="A32" s="17" t="s">
        <v>390</v>
      </c>
      <c r="B32" s="17" t="s">
        <v>361</v>
      </c>
      <c r="C32" s="17" t="s">
        <v>362</v>
      </c>
      <c r="D32" s="18" t="s">
        <v>363</v>
      </c>
      <c r="E32" s="17" t="s">
        <v>391</v>
      </c>
      <c r="F32" s="18" t="s">
        <v>392</v>
      </c>
      <c r="G32" s="17" t="s">
        <v>393</v>
      </c>
      <c r="H32" s="18" t="s">
        <v>264</v>
      </c>
      <c r="I32" s="17">
        <v>2</v>
      </c>
      <c r="J32" s="18" t="s">
        <v>268</v>
      </c>
      <c r="K32" s="18" t="s">
        <v>306</v>
      </c>
      <c r="L32" s="19">
        <v>1</v>
      </c>
      <c r="M32" s="19">
        <v>95</v>
      </c>
      <c r="N32" s="20">
        <f t="shared" si="0"/>
        <v>95</v>
      </c>
      <c r="O32" s="17" t="s">
        <v>254</v>
      </c>
      <c r="P32" s="17">
        <v>5</v>
      </c>
      <c r="Q32" s="18" t="s">
        <v>41</v>
      </c>
      <c r="R32" s="18" t="s">
        <v>395</v>
      </c>
    </row>
    <row r="33" spans="1:18">
      <c r="A33" s="21" t="s">
        <v>396</v>
      </c>
      <c r="B33" s="21" t="s">
        <v>361</v>
      </c>
      <c r="C33" s="21" t="s">
        <v>362</v>
      </c>
      <c r="D33" s="22" t="s">
        <v>363</v>
      </c>
      <c r="E33" s="21" t="s">
        <v>397</v>
      </c>
      <c r="F33" s="22" t="s">
        <v>398</v>
      </c>
      <c r="G33" s="21" t="s">
        <v>399</v>
      </c>
      <c r="H33" s="22" t="s">
        <v>313</v>
      </c>
      <c r="I33" s="21">
        <v>1</v>
      </c>
      <c r="J33" s="22" t="s">
        <v>314</v>
      </c>
      <c r="K33" s="22" t="s">
        <v>400</v>
      </c>
      <c r="L33" s="23">
        <v>50</v>
      </c>
      <c r="M33" s="23">
        <v>90</v>
      </c>
      <c r="N33" s="24">
        <f t="shared" si="0"/>
        <v>4500</v>
      </c>
      <c r="O33" s="21" t="s">
        <v>316</v>
      </c>
      <c r="P33" s="21">
        <v>5</v>
      </c>
      <c r="Q33" s="22" t="s">
        <v>401</v>
      </c>
      <c r="R33" s="22" t="s">
        <v>402</v>
      </c>
    </row>
    <row r="34" spans="1:18">
      <c r="A34" s="17" t="s">
        <v>403</v>
      </c>
      <c r="B34" s="17" t="s">
        <v>404</v>
      </c>
      <c r="C34" s="17" t="s">
        <v>246</v>
      </c>
      <c r="D34" s="18" t="s">
        <v>247</v>
      </c>
      <c r="E34" s="17" t="s">
        <v>248</v>
      </c>
      <c r="F34" s="18" t="s">
        <v>249</v>
      </c>
      <c r="G34" s="17" t="s">
        <v>250</v>
      </c>
      <c r="H34" s="18" t="s">
        <v>251</v>
      </c>
      <c r="I34" s="17">
        <v>1</v>
      </c>
      <c r="J34" s="18" t="s">
        <v>252</v>
      </c>
      <c r="K34" s="18" t="s">
        <v>145</v>
      </c>
      <c r="L34" s="19">
        <v>1</v>
      </c>
      <c r="M34" s="19">
        <v>420</v>
      </c>
      <c r="N34" s="20">
        <f t="shared" ref="N34:N65" si="1">L34*M34</f>
        <v>420</v>
      </c>
      <c r="O34" s="17" t="s">
        <v>254</v>
      </c>
      <c r="P34" s="17">
        <v>5</v>
      </c>
      <c r="Q34" s="18" t="s">
        <v>41</v>
      </c>
      <c r="R34" s="18" t="s">
        <v>405</v>
      </c>
    </row>
    <row r="35" spans="1:18">
      <c r="A35" s="21" t="s">
        <v>406</v>
      </c>
      <c r="B35" s="21" t="s">
        <v>404</v>
      </c>
      <c r="C35" s="21" t="s">
        <v>246</v>
      </c>
      <c r="D35" s="22" t="s">
        <v>247</v>
      </c>
      <c r="E35" s="21" t="s">
        <v>273</v>
      </c>
      <c r="F35" s="22" t="s">
        <v>274</v>
      </c>
      <c r="G35" s="21" t="s">
        <v>34</v>
      </c>
      <c r="H35" s="22" t="s">
        <v>275</v>
      </c>
      <c r="I35" s="21">
        <v>1</v>
      </c>
      <c r="J35" s="22" t="s">
        <v>252</v>
      </c>
      <c r="K35" s="22" t="s">
        <v>265</v>
      </c>
      <c r="L35" s="23">
        <v>6</v>
      </c>
      <c r="M35" s="23">
        <v>85</v>
      </c>
      <c r="N35" s="24">
        <f t="shared" si="1"/>
        <v>510</v>
      </c>
      <c r="O35" s="21" t="s">
        <v>254</v>
      </c>
      <c r="P35" s="21">
        <v>5</v>
      </c>
      <c r="Q35" s="22" t="s">
        <v>41</v>
      </c>
      <c r="R35" s="22" t="s">
        <v>407</v>
      </c>
    </row>
    <row r="36" spans="1:18">
      <c r="A36" s="17" t="s">
        <v>408</v>
      </c>
      <c r="B36" s="17" t="s">
        <v>404</v>
      </c>
      <c r="C36" s="17" t="s">
        <v>320</v>
      </c>
      <c r="D36" s="18" t="s">
        <v>321</v>
      </c>
      <c r="E36" s="17" t="s">
        <v>295</v>
      </c>
      <c r="F36" s="18" t="s">
        <v>296</v>
      </c>
      <c r="G36" s="17" t="s">
        <v>297</v>
      </c>
      <c r="H36" s="18" t="s">
        <v>251</v>
      </c>
      <c r="I36" s="17">
        <v>1</v>
      </c>
      <c r="J36" s="18" t="s">
        <v>252</v>
      </c>
      <c r="K36" s="18" t="s">
        <v>253</v>
      </c>
      <c r="L36" s="19">
        <v>1</v>
      </c>
      <c r="M36" s="19">
        <v>350</v>
      </c>
      <c r="N36" s="20">
        <f t="shared" si="1"/>
        <v>350</v>
      </c>
      <c r="O36" s="17" t="s">
        <v>254</v>
      </c>
      <c r="P36" s="17">
        <v>4</v>
      </c>
      <c r="Q36" s="18" t="s">
        <v>41</v>
      </c>
      <c r="R36" s="18" t="s">
        <v>394</v>
      </c>
    </row>
    <row r="37" spans="1:18">
      <c r="A37" s="21" t="s">
        <v>408</v>
      </c>
      <c r="B37" s="21" t="s">
        <v>404</v>
      </c>
      <c r="C37" s="21" t="s">
        <v>320</v>
      </c>
      <c r="D37" s="22" t="s">
        <v>321</v>
      </c>
      <c r="E37" s="21" t="s">
        <v>295</v>
      </c>
      <c r="F37" s="22" t="s">
        <v>296</v>
      </c>
      <c r="G37" s="21" t="s">
        <v>297</v>
      </c>
      <c r="H37" s="22" t="s">
        <v>251</v>
      </c>
      <c r="I37" s="21">
        <v>2</v>
      </c>
      <c r="J37" s="22" t="s">
        <v>257</v>
      </c>
      <c r="K37" s="22" t="s">
        <v>258</v>
      </c>
      <c r="L37" s="23">
        <v>1</v>
      </c>
      <c r="M37" s="23">
        <v>25</v>
      </c>
      <c r="N37" s="24">
        <f t="shared" si="1"/>
        <v>25</v>
      </c>
      <c r="O37" s="21" t="s">
        <v>254</v>
      </c>
      <c r="P37" s="21">
        <v>4</v>
      </c>
      <c r="Q37" s="22" t="s">
        <v>41</v>
      </c>
      <c r="R37" s="22" t="s">
        <v>369</v>
      </c>
    </row>
    <row r="38" spans="1:18">
      <c r="A38" s="17" t="s">
        <v>409</v>
      </c>
      <c r="B38" s="17" t="s">
        <v>404</v>
      </c>
      <c r="C38" s="17" t="s">
        <v>320</v>
      </c>
      <c r="D38" s="18" t="s">
        <v>321</v>
      </c>
      <c r="E38" s="17" t="s">
        <v>410</v>
      </c>
      <c r="F38" s="18" t="s">
        <v>411</v>
      </c>
      <c r="G38" s="17" t="s">
        <v>162</v>
      </c>
      <c r="H38" s="18" t="s">
        <v>264</v>
      </c>
      <c r="I38" s="17">
        <v>1</v>
      </c>
      <c r="J38" s="18" t="s">
        <v>268</v>
      </c>
      <c r="K38" s="18" t="s">
        <v>333</v>
      </c>
      <c r="L38" s="19">
        <v>2</v>
      </c>
      <c r="M38" s="19">
        <v>85</v>
      </c>
      <c r="N38" s="20">
        <f t="shared" si="1"/>
        <v>170</v>
      </c>
      <c r="O38" s="17" t="s">
        <v>254</v>
      </c>
      <c r="P38" s="17">
        <v>4</v>
      </c>
      <c r="Q38" s="18" t="s">
        <v>41</v>
      </c>
      <c r="R38" s="18" t="s">
        <v>412</v>
      </c>
    </row>
    <row r="39" spans="1:18">
      <c r="A39" s="21" t="s">
        <v>409</v>
      </c>
      <c r="B39" s="21" t="s">
        <v>404</v>
      </c>
      <c r="C39" s="21" t="s">
        <v>320</v>
      </c>
      <c r="D39" s="22" t="s">
        <v>321</v>
      </c>
      <c r="E39" s="21" t="s">
        <v>410</v>
      </c>
      <c r="F39" s="22" t="s">
        <v>411</v>
      </c>
      <c r="G39" s="21" t="s">
        <v>162</v>
      </c>
      <c r="H39" s="22" t="s">
        <v>264</v>
      </c>
      <c r="I39" s="21">
        <v>2</v>
      </c>
      <c r="J39" s="22" t="s">
        <v>252</v>
      </c>
      <c r="K39" s="22" t="s">
        <v>304</v>
      </c>
      <c r="L39" s="23">
        <v>1</v>
      </c>
      <c r="M39" s="23">
        <v>65</v>
      </c>
      <c r="N39" s="24">
        <f t="shared" si="1"/>
        <v>65</v>
      </c>
      <c r="O39" s="21" t="s">
        <v>254</v>
      </c>
      <c r="P39" s="21">
        <v>4</v>
      </c>
      <c r="Q39" s="22" t="s">
        <v>41</v>
      </c>
      <c r="R39" s="22" t="s">
        <v>413</v>
      </c>
    </row>
    <row r="40" spans="1:18">
      <c r="A40" s="17" t="s">
        <v>414</v>
      </c>
      <c r="B40" s="17" t="s">
        <v>404</v>
      </c>
      <c r="C40" s="17" t="s">
        <v>362</v>
      </c>
      <c r="D40" s="18" t="s">
        <v>363</v>
      </c>
      <c r="E40" s="17" t="s">
        <v>371</v>
      </c>
      <c r="F40" s="18" t="s">
        <v>372</v>
      </c>
      <c r="G40" s="17" t="s">
        <v>116</v>
      </c>
      <c r="H40" s="18" t="s">
        <v>275</v>
      </c>
      <c r="I40" s="17">
        <v>1</v>
      </c>
      <c r="J40" s="18" t="s">
        <v>252</v>
      </c>
      <c r="K40" s="18" t="s">
        <v>291</v>
      </c>
      <c r="L40" s="19">
        <v>1</v>
      </c>
      <c r="M40" s="19">
        <v>590</v>
      </c>
      <c r="N40" s="20">
        <f t="shared" si="1"/>
        <v>590</v>
      </c>
      <c r="O40" s="17" t="s">
        <v>254</v>
      </c>
      <c r="P40" s="17">
        <v>5</v>
      </c>
      <c r="Q40" s="18" t="s">
        <v>41</v>
      </c>
      <c r="R40" s="18" t="s">
        <v>415</v>
      </c>
    </row>
    <row r="41" spans="1:18">
      <c r="A41" s="21" t="s">
        <v>416</v>
      </c>
      <c r="B41" s="21" t="s">
        <v>404</v>
      </c>
      <c r="C41" s="21" t="s">
        <v>362</v>
      </c>
      <c r="D41" s="22" t="s">
        <v>363</v>
      </c>
      <c r="E41" s="21" t="s">
        <v>375</v>
      </c>
      <c r="F41" s="22" t="s">
        <v>376</v>
      </c>
      <c r="G41" s="21" t="s">
        <v>377</v>
      </c>
      <c r="H41" s="22" t="s">
        <v>283</v>
      </c>
      <c r="I41" s="21">
        <v>1</v>
      </c>
      <c r="J41" s="22" t="s">
        <v>252</v>
      </c>
      <c r="K41" s="22" t="s">
        <v>284</v>
      </c>
      <c r="L41" s="23">
        <v>4</v>
      </c>
      <c r="M41" s="23">
        <v>45</v>
      </c>
      <c r="N41" s="24">
        <f t="shared" si="1"/>
        <v>180</v>
      </c>
      <c r="O41" s="21" t="s">
        <v>254</v>
      </c>
      <c r="P41" s="21">
        <v>5</v>
      </c>
      <c r="Q41" s="22" t="s">
        <v>417</v>
      </c>
      <c r="R41" s="22" t="s">
        <v>418</v>
      </c>
    </row>
    <row r="42" spans="1:18">
      <c r="A42" s="17" t="s">
        <v>416</v>
      </c>
      <c r="B42" s="17" t="s">
        <v>404</v>
      </c>
      <c r="C42" s="17" t="s">
        <v>362</v>
      </c>
      <c r="D42" s="18" t="s">
        <v>363</v>
      </c>
      <c r="E42" s="17" t="s">
        <v>375</v>
      </c>
      <c r="F42" s="18" t="s">
        <v>376</v>
      </c>
      <c r="G42" s="17" t="s">
        <v>377</v>
      </c>
      <c r="H42" s="18" t="s">
        <v>283</v>
      </c>
      <c r="I42" s="17">
        <v>2</v>
      </c>
      <c r="J42" s="18" t="s">
        <v>268</v>
      </c>
      <c r="K42" s="18" t="s">
        <v>269</v>
      </c>
      <c r="L42" s="19">
        <v>1</v>
      </c>
      <c r="M42" s="19">
        <v>65</v>
      </c>
      <c r="N42" s="20">
        <f t="shared" si="1"/>
        <v>65</v>
      </c>
      <c r="O42" s="17" t="s">
        <v>254</v>
      </c>
      <c r="P42" s="17">
        <v>5</v>
      </c>
      <c r="Q42" s="18" t="s">
        <v>41</v>
      </c>
      <c r="R42" s="18" t="s">
        <v>419</v>
      </c>
    </row>
    <row r="43" spans="1:18">
      <c r="A43" s="21" t="s">
        <v>420</v>
      </c>
      <c r="B43" s="21" t="s">
        <v>421</v>
      </c>
      <c r="C43" s="21" t="s">
        <v>246</v>
      </c>
      <c r="D43" s="22" t="s">
        <v>247</v>
      </c>
      <c r="E43" s="21" t="s">
        <v>325</v>
      </c>
      <c r="F43" s="22" t="s">
        <v>326</v>
      </c>
      <c r="G43" s="21" t="s">
        <v>327</v>
      </c>
      <c r="H43" s="22" t="s">
        <v>264</v>
      </c>
      <c r="I43" s="21">
        <v>1</v>
      </c>
      <c r="J43" s="22" t="s">
        <v>252</v>
      </c>
      <c r="K43" s="22" t="s">
        <v>291</v>
      </c>
      <c r="L43" s="23">
        <v>1</v>
      </c>
      <c r="M43" s="23">
        <v>590</v>
      </c>
      <c r="N43" s="24">
        <f t="shared" si="1"/>
        <v>590</v>
      </c>
      <c r="O43" s="21" t="s">
        <v>254</v>
      </c>
      <c r="P43" s="21">
        <v>5</v>
      </c>
      <c r="Q43" s="22" t="s">
        <v>41</v>
      </c>
      <c r="R43" s="22" t="s">
        <v>394</v>
      </c>
    </row>
    <row r="44" spans="1:18">
      <c r="A44" s="17" t="s">
        <v>420</v>
      </c>
      <c r="B44" s="17" t="s">
        <v>421</v>
      </c>
      <c r="C44" s="17" t="s">
        <v>246</v>
      </c>
      <c r="D44" s="18" t="s">
        <v>247</v>
      </c>
      <c r="E44" s="17" t="s">
        <v>325</v>
      </c>
      <c r="F44" s="18" t="s">
        <v>326</v>
      </c>
      <c r="G44" s="17" t="s">
        <v>327</v>
      </c>
      <c r="H44" s="18" t="s">
        <v>264</v>
      </c>
      <c r="I44" s="17">
        <v>2</v>
      </c>
      <c r="J44" s="18" t="s">
        <v>268</v>
      </c>
      <c r="K44" s="18" t="s">
        <v>306</v>
      </c>
      <c r="L44" s="19">
        <v>1</v>
      </c>
      <c r="M44" s="19">
        <v>95</v>
      </c>
      <c r="N44" s="20">
        <f t="shared" si="1"/>
        <v>95</v>
      </c>
      <c r="O44" s="17" t="s">
        <v>254</v>
      </c>
      <c r="P44" s="17">
        <v>5</v>
      </c>
      <c r="Q44" s="18" t="s">
        <v>41</v>
      </c>
      <c r="R44" s="18" t="s">
        <v>308</v>
      </c>
    </row>
    <row r="45" spans="1:18">
      <c r="A45" s="21" t="s">
        <v>422</v>
      </c>
      <c r="B45" s="21" t="s">
        <v>421</v>
      </c>
      <c r="C45" s="21" t="s">
        <v>246</v>
      </c>
      <c r="D45" s="22" t="s">
        <v>247</v>
      </c>
      <c r="E45" s="21" t="s">
        <v>281</v>
      </c>
      <c r="F45" s="22" t="s">
        <v>423</v>
      </c>
      <c r="G45" s="21" t="s">
        <v>162</v>
      </c>
      <c r="H45" s="22" t="s">
        <v>275</v>
      </c>
      <c r="I45" s="21">
        <v>1</v>
      </c>
      <c r="J45" s="22" t="s">
        <v>252</v>
      </c>
      <c r="K45" s="22" t="s">
        <v>265</v>
      </c>
      <c r="L45" s="23">
        <v>3</v>
      </c>
      <c r="M45" s="23">
        <v>85</v>
      </c>
      <c r="N45" s="24">
        <f t="shared" si="1"/>
        <v>255</v>
      </c>
      <c r="O45" s="21" t="s">
        <v>254</v>
      </c>
      <c r="P45" s="21">
        <v>4</v>
      </c>
      <c r="Q45" s="22" t="s">
        <v>41</v>
      </c>
      <c r="R45" s="22" t="s">
        <v>424</v>
      </c>
    </row>
    <row r="46" spans="1:18">
      <c r="A46" s="17" t="s">
        <v>422</v>
      </c>
      <c r="B46" s="17" t="s">
        <v>421</v>
      </c>
      <c r="C46" s="17" t="s">
        <v>246</v>
      </c>
      <c r="D46" s="18" t="s">
        <v>247</v>
      </c>
      <c r="E46" s="17" t="s">
        <v>281</v>
      </c>
      <c r="F46" s="18" t="s">
        <v>423</v>
      </c>
      <c r="G46" s="17" t="s">
        <v>162</v>
      </c>
      <c r="H46" s="18" t="s">
        <v>275</v>
      </c>
      <c r="I46" s="17">
        <v>2</v>
      </c>
      <c r="J46" s="18" t="s">
        <v>268</v>
      </c>
      <c r="K46" s="18" t="s">
        <v>269</v>
      </c>
      <c r="L46" s="19">
        <v>1</v>
      </c>
      <c r="M46" s="19">
        <v>65</v>
      </c>
      <c r="N46" s="20">
        <f t="shared" si="1"/>
        <v>65</v>
      </c>
      <c r="O46" s="17" t="s">
        <v>254</v>
      </c>
      <c r="P46" s="17">
        <v>4</v>
      </c>
      <c r="Q46" s="18" t="s">
        <v>41</v>
      </c>
      <c r="R46" s="18" t="s">
        <v>424</v>
      </c>
    </row>
    <row r="47" spans="1:18">
      <c r="A47" s="21" t="s">
        <v>425</v>
      </c>
      <c r="B47" s="21" t="s">
        <v>421</v>
      </c>
      <c r="C47" s="21" t="s">
        <v>320</v>
      </c>
      <c r="D47" s="22" t="s">
        <v>321</v>
      </c>
      <c r="E47" s="21" t="s">
        <v>337</v>
      </c>
      <c r="F47" s="22" t="s">
        <v>338</v>
      </c>
      <c r="G47" s="21" t="s">
        <v>89</v>
      </c>
      <c r="H47" s="22" t="s">
        <v>251</v>
      </c>
      <c r="I47" s="21">
        <v>1</v>
      </c>
      <c r="J47" s="22" t="s">
        <v>252</v>
      </c>
      <c r="K47" s="22" t="s">
        <v>253</v>
      </c>
      <c r="L47" s="23">
        <v>1</v>
      </c>
      <c r="M47" s="23">
        <v>350</v>
      </c>
      <c r="N47" s="24">
        <f t="shared" si="1"/>
        <v>350</v>
      </c>
      <c r="O47" s="21" t="s">
        <v>254</v>
      </c>
      <c r="P47" s="21">
        <v>5</v>
      </c>
      <c r="Q47" s="22" t="s">
        <v>426</v>
      </c>
      <c r="R47" s="22" t="s">
        <v>427</v>
      </c>
    </row>
    <row r="48" spans="1:18">
      <c r="A48" s="17" t="s">
        <v>428</v>
      </c>
      <c r="B48" s="17" t="s">
        <v>421</v>
      </c>
      <c r="C48" s="17" t="s">
        <v>320</v>
      </c>
      <c r="D48" s="18" t="s">
        <v>321</v>
      </c>
      <c r="E48" s="17" t="s">
        <v>429</v>
      </c>
      <c r="F48" s="18" t="s">
        <v>430</v>
      </c>
      <c r="G48" s="17" t="s">
        <v>431</v>
      </c>
      <c r="H48" s="18" t="s">
        <v>290</v>
      </c>
      <c r="I48" s="17">
        <v>1</v>
      </c>
      <c r="J48" s="18" t="s">
        <v>252</v>
      </c>
      <c r="K48" s="18" t="s">
        <v>284</v>
      </c>
      <c r="L48" s="19">
        <v>12</v>
      </c>
      <c r="M48" s="19">
        <v>45</v>
      </c>
      <c r="N48" s="20">
        <f t="shared" si="1"/>
        <v>540</v>
      </c>
      <c r="O48" s="17" t="s">
        <v>254</v>
      </c>
      <c r="P48" s="17">
        <v>5</v>
      </c>
      <c r="Q48" s="18" t="s">
        <v>432</v>
      </c>
      <c r="R48" s="18" t="s">
        <v>433</v>
      </c>
    </row>
    <row r="49" spans="1:18">
      <c r="A49" s="21" t="s">
        <v>434</v>
      </c>
      <c r="B49" s="21" t="s">
        <v>421</v>
      </c>
      <c r="C49" s="21" t="s">
        <v>362</v>
      </c>
      <c r="D49" s="22" t="s">
        <v>363</v>
      </c>
      <c r="E49" s="21" t="s">
        <v>435</v>
      </c>
      <c r="F49" s="22" t="s">
        <v>436</v>
      </c>
      <c r="G49" s="21" t="s">
        <v>437</v>
      </c>
      <c r="H49" s="22" t="s">
        <v>275</v>
      </c>
      <c r="I49" s="21">
        <v>1</v>
      </c>
      <c r="J49" s="22" t="s">
        <v>252</v>
      </c>
      <c r="K49" s="22" t="s">
        <v>276</v>
      </c>
      <c r="L49" s="23">
        <v>1</v>
      </c>
      <c r="M49" s="23">
        <v>650</v>
      </c>
      <c r="N49" s="24">
        <f t="shared" si="1"/>
        <v>650</v>
      </c>
      <c r="O49" s="21" t="s">
        <v>277</v>
      </c>
      <c r="P49" s="21">
        <v>4</v>
      </c>
      <c r="Q49" s="22" t="s">
        <v>41</v>
      </c>
      <c r="R49" s="22" t="s">
        <v>394</v>
      </c>
    </row>
    <row r="50" spans="1:18">
      <c r="A50" s="17" t="s">
        <v>434</v>
      </c>
      <c r="B50" s="17" t="s">
        <v>421</v>
      </c>
      <c r="C50" s="17" t="s">
        <v>362</v>
      </c>
      <c r="D50" s="18" t="s">
        <v>363</v>
      </c>
      <c r="E50" s="17" t="s">
        <v>435</v>
      </c>
      <c r="F50" s="18" t="s">
        <v>436</v>
      </c>
      <c r="G50" s="17" t="s">
        <v>437</v>
      </c>
      <c r="H50" s="18" t="s">
        <v>275</v>
      </c>
      <c r="I50" s="17">
        <v>2</v>
      </c>
      <c r="J50" s="18" t="s">
        <v>257</v>
      </c>
      <c r="K50" s="18" t="s">
        <v>258</v>
      </c>
      <c r="L50" s="19">
        <v>2</v>
      </c>
      <c r="M50" s="19">
        <v>25</v>
      </c>
      <c r="N50" s="20">
        <f t="shared" si="1"/>
        <v>50</v>
      </c>
      <c r="O50" s="17" t="s">
        <v>277</v>
      </c>
      <c r="P50" s="17">
        <v>4</v>
      </c>
      <c r="Q50" s="18" t="s">
        <v>41</v>
      </c>
      <c r="R50" s="18" t="s">
        <v>438</v>
      </c>
    </row>
    <row r="51" spans="1:18">
      <c r="A51" s="21" t="s">
        <v>439</v>
      </c>
      <c r="B51" s="21" t="s">
        <v>421</v>
      </c>
      <c r="C51" s="21" t="s">
        <v>362</v>
      </c>
      <c r="D51" s="22" t="s">
        <v>363</v>
      </c>
      <c r="E51" s="21" t="s">
        <v>440</v>
      </c>
      <c r="F51" s="22" t="s">
        <v>441</v>
      </c>
      <c r="G51" s="21" t="s">
        <v>162</v>
      </c>
      <c r="H51" s="22" t="s">
        <v>264</v>
      </c>
      <c r="I51" s="21">
        <v>1</v>
      </c>
      <c r="J51" s="22" t="s">
        <v>252</v>
      </c>
      <c r="K51" s="22" t="s">
        <v>304</v>
      </c>
      <c r="L51" s="23">
        <v>1</v>
      </c>
      <c r="M51" s="23">
        <v>65</v>
      </c>
      <c r="N51" s="24">
        <f t="shared" si="1"/>
        <v>65</v>
      </c>
      <c r="O51" s="21" t="s">
        <v>254</v>
      </c>
      <c r="P51" s="21">
        <v>5</v>
      </c>
      <c r="Q51" s="22" t="s">
        <v>41</v>
      </c>
      <c r="R51" s="22" t="s">
        <v>442</v>
      </c>
    </row>
    <row r="52" spans="1:18">
      <c r="A52" s="17" t="s">
        <v>439</v>
      </c>
      <c r="B52" s="17" t="s">
        <v>421</v>
      </c>
      <c r="C52" s="17" t="s">
        <v>362</v>
      </c>
      <c r="D52" s="18" t="s">
        <v>363</v>
      </c>
      <c r="E52" s="17" t="s">
        <v>440</v>
      </c>
      <c r="F52" s="18" t="s">
        <v>441</v>
      </c>
      <c r="G52" s="17" t="s">
        <v>162</v>
      </c>
      <c r="H52" s="18" t="s">
        <v>264</v>
      </c>
      <c r="I52" s="17">
        <v>2</v>
      </c>
      <c r="J52" s="18" t="s">
        <v>268</v>
      </c>
      <c r="K52" s="18" t="s">
        <v>333</v>
      </c>
      <c r="L52" s="19">
        <v>1</v>
      </c>
      <c r="M52" s="19">
        <v>85</v>
      </c>
      <c r="N52" s="20">
        <f t="shared" si="1"/>
        <v>85</v>
      </c>
      <c r="O52" s="17" t="s">
        <v>254</v>
      </c>
      <c r="P52" s="17">
        <v>5</v>
      </c>
      <c r="Q52" s="18" t="s">
        <v>41</v>
      </c>
      <c r="R52" s="18" t="s">
        <v>412</v>
      </c>
    </row>
    <row r="53" spans="1:18">
      <c r="A53" s="21" t="s">
        <v>443</v>
      </c>
      <c r="B53" s="21" t="s">
        <v>444</v>
      </c>
      <c r="C53" s="21" t="s">
        <v>246</v>
      </c>
      <c r="D53" s="22" t="s">
        <v>247</v>
      </c>
      <c r="E53" s="21" t="s">
        <v>445</v>
      </c>
      <c r="F53" s="22" t="s">
        <v>182</v>
      </c>
      <c r="G53" s="21" t="s">
        <v>446</v>
      </c>
      <c r="H53" s="22" t="s">
        <v>313</v>
      </c>
      <c r="I53" s="21">
        <v>1</v>
      </c>
      <c r="J53" s="22" t="s">
        <v>314</v>
      </c>
      <c r="K53" s="22" t="s">
        <v>447</v>
      </c>
      <c r="L53" s="23">
        <v>40</v>
      </c>
      <c r="M53" s="23">
        <v>110</v>
      </c>
      <c r="N53" s="24">
        <f t="shared" si="1"/>
        <v>4400</v>
      </c>
      <c r="O53" s="21" t="s">
        <v>316</v>
      </c>
      <c r="P53" s="21">
        <v>5</v>
      </c>
      <c r="Q53" s="22" t="s">
        <v>448</v>
      </c>
      <c r="R53" s="22" t="s">
        <v>449</v>
      </c>
    </row>
    <row r="54" spans="1:18">
      <c r="A54" s="17" t="s">
        <v>450</v>
      </c>
      <c r="B54" s="17" t="s">
        <v>444</v>
      </c>
      <c r="C54" s="17" t="s">
        <v>246</v>
      </c>
      <c r="D54" s="18" t="s">
        <v>247</v>
      </c>
      <c r="E54" s="17" t="s">
        <v>248</v>
      </c>
      <c r="F54" s="18" t="s">
        <v>249</v>
      </c>
      <c r="G54" s="17" t="s">
        <v>250</v>
      </c>
      <c r="H54" s="18" t="s">
        <v>251</v>
      </c>
      <c r="I54" s="17">
        <v>1</v>
      </c>
      <c r="J54" s="18" t="s">
        <v>252</v>
      </c>
      <c r="K54" s="18" t="s">
        <v>291</v>
      </c>
      <c r="L54" s="19">
        <v>1</v>
      </c>
      <c r="M54" s="19">
        <v>590</v>
      </c>
      <c r="N54" s="20">
        <f t="shared" si="1"/>
        <v>590</v>
      </c>
      <c r="O54" s="17" t="s">
        <v>254</v>
      </c>
      <c r="P54" s="17">
        <v>5</v>
      </c>
      <c r="Q54" s="18" t="s">
        <v>41</v>
      </c>
      <c r="R54" s="18" t="s">
        <v>451</v>
      </c>
    </row>
    <row r="55" spans="1:18">
      <c r="A55" s="21" t="s">
        <v>452</v>
      </c>
      <c r="B55" s="21" t="s">
        <v>444</v>
      </c>
      <c r="C55" s="21" t="s">
        <v>320</v>
      </c>
      <c r="D55" s="22" t="s">
        <v>321</v>
      </c>
      <c r="E55" s="21" t="s">
        <v>354</v>
      </c>
      <c r="F55" s="22" t="s">
        <v>355</v>
      </c>
      <c r="G55" s="21" t="s">
        <v>356</v>
      </c>
      <c r="H55" s="22" t="s">
        <v>283</v>
      </c>
      <c r="I55" s="21">
        <v>1</v>
      </c>
      <c r="J55" s="22" t="s">
        <v>252</v>
      </c>
      <c r="K55" s="22" t="s">
        <v>265</v>
      </c>
      <c r="L55" s="23">
        <v>8</v>
      </c>
      <c r="M55" s="23">
        <v>85</v>
      </c>
      <c r="N55" s="24">
        <f t="shared" si="1"/>
        <v>680</v>
      </c>
      <c r="O55" s="21" t="s">
        <v>254</v>
      </c>
      <c r="P55" s="21">
        <v>5</v>
      </c>
      <c r="Q55" s="22" t="s">
        <v>453</v>
      </c>
      <c r="R55" s="22" t="s">
        <v>427</v>
      </c>
    </row>
    <row r="56" spans="1:18">
      <c r="A56" s="17" t="s">
        <v>454</v>
      </c>
      <c r="B56" s="17" t="s">
        <v>444</v>
      </c>
      <c r="C56" s="17" t="s">
        <v>320</v>
      </c>
      <c r="D56" s="18" t="s">
        <v>321</v>
      </c>
      <c r="E56" s="17" t="s">
        <v>273</v>
      </c>
      <c r="F56" s="18" t="s">
        <v>274</v>
      </c>
      <c r="G56" s="17" t="s">
        <v>34</v>
      </c>
      <c r="H56" s="18" t="s">
        <v>275</v>
      </c>
      <c r="I56" s="17">
        <v>1</v>
      </c>
      <c r="J56" s="18" t="s">
        <v>252</v>
      </c>
      <c r="K56" s="18" t="s">
        <v>455</v>
      </c>
      <c r="L56" s="19">
        <v>1</v>
      </c>
      <c r="M56" s="19">
        <v>750</v>
      </c>
      <c r="N56" s="20">
        <f t="shared" si="1"/>
        <v>750</v>
      </c>
      <c r="O56" s="17" t="s">
        <v>254</v>
      </c>
      <c r="P56" s="17">
        <v>4</v>
      </c>
      <c r="Q56" s="18" t="s">
        <v>41</v>
      </c>
      <c r="R56" s="18" t="s">
        <v>394</v>
      </c>
    </row>
    <row r="57" spans="1:18">
      <c r="A57" s="21" t="s">
        <v>454</v>
      </c>
      <c r="B57" s="21" t="s">
        <v>444</v>
      </c>
      <c r="C57" s="21" t="s">
        <v>320</v>
      </c>
      <c r="D57" s="22" t="s">
        <v>321</v>
      </c>
      <c r="E57" s="21" t="s">
        <v>273</v>
      </c>
      <c r="F57" s="22" t="s">
        <v>274</v>
      </c>
      <c r="G57" s="21" t="s">
        <v>34</v>
      </c>
      <c r="H57" s="22" t="s">
        <v>275</v>
      </c>
      <c r="I57" s="21">
        <v>2</v>
      </c>
      <c r="J57" s="22" t="s">
        <v>257</v>
      </c>
      <c r="K57" s="22" t="s">
        <v>388</v>
      </c>
      <c r="L57" s="23">
        <v>1</v>
      </c>
      <c r="M57" s="23">
        <v>40</v>
      </c>
      <c r="N57" s="24">
        <f t="shared" si="1"/>
        <v>40</v>
      </c>
      <c r="O57" s="21" t="s">
        <v>254</v>
      </c>
      <c r="P57" s="21">
        <v>4</v>
      </c>
      <c r="Q57" s="22" t="s">
        <v>41</v>
      </c>
      <c r="R57" s="22" t="s">
        <v>389</v>
      </c>
    </row>
    <row r="58" spans="1:18">
      <c r="A58" s="17" t="s">
        <v>456</v>
      </c>
      <c r="B58" s="17" t="s">
        <v>444</v>
      </c>
      <c r="C58" s="17" t="s">
        <v>362</v>
      </c>
      <c r="D58" s="18" t="s">
        <v>363</v>
      </c>
      <c r="E58" s="17" t="s">
        <v>457</v>
      </c>
      <c r="F58" s="18" t="s">
        <v>458</v>
      </c>
      <c r="G58" s="17" t="s">
        <v>459</v>
      </c>
      <c r="H58" s="18" t="s">
        <v>275</v>
      </c>
      <c r="I58" s="17">
        <v>1</v>
      </c>
      <c r="J58" s="18" t="s">
        <v>252</v>
      </c>
      <c r="K58" s="18" t="s">
        <v>253</v>
      </c>
      <c r="L58" s="19">
        <v>1</v>
      </c>
      <c r="M58" s="19">
        <v>350</v>
      </c>
      <c r="N58" s="20">
        <f t="shared" si="1"/>
        <v>350</v>
      </c>
      <c r="O58" s="17" t="s">
        <v>298</v>
      </c>
      <c r="P58" s="17">
        <v>1</v>
      </c>
      <c r="Q58" s="18" t="s">
        <v>460</v>
      </c>
      <c r="R58" s="18" t="s">
        <v>461</v>
      </c>
    </row>
    <row r="59" spans="1:18">
      <c r="A59" s="21" t="s">
        <v>462</v>
      </c>
      <c r="B59" s="21" t="s">
        <v>444</v>
      </c>
      <c r="C59" s="21" t="s">
        <v>362</v>
      </c>
      <c r="D59" s="22" t="s">
        <v>363</v>
      </c>
      <c r="E59" s="21" t="s">
        <v>371</v>
      </c>
      <c r="F59" s="22" t="s">
        <v>372</v>
      </c>
      <c r="G59" s="21" t="s">
        <v>116</v>
      </c>
      <c r="H59" s="22" t="s">
        <v>264</v>
      </c>
      <c r="I59" s="21">
        <v>1</v>
      </c>
      <c r="J59" s="22" t="s">
        <v>252</v>
      </c>
      <c r="K59" s="22" t="s">
        <v>284</v>
      </c>
      <c r="L59" s="23">
        <v>8</v>
      </c>
      <c r="M59" s="23">
        <v>45</v>
      </c>
      <c r="N59" s="24">
        <f t="shared" si="1"/>
        <v>360</v>
      </c>
      <c r="O59" s="21" t="s">
        <v>254</v>
      </c>
      <c r="P59" s="21">
        <v>5</v>
      </c>
      <c r="Q59" s="22" t="s">
        <v>41</v>
      </c>
      <c r="R59" s="22" t="s">
        <v>442</v>
      </c>
    </row>
    <row r="60" spans="1:18">
      <c r="A60" s="17" t="s">
        <v>462</v>
      </c>
      <c r="B60" s="17" t="s">
        <v>444</v>
      </c>
      <c r="C60" s="17" t="s">
        <v>362</v>
      </c>
      <c r="D60" s="18" t="s">
        <v>363</v>
      </c>
      <c r="E60" s="17" t="s">
        <v>371</v>
      </c>
      <c r="F60" s="18" t="s">
        <v>372</v>
      </c>
      <c r="G60" s="17" t="s">
        <v>116</v>
      </c>
      <c r="H60" s="18" t="s">
        <v>264</v>
      </c>
      <c r="I60" s="17">
        <v>2</v>
      </c>
      <c r="J60" s="18" t="s">
        <v>268</v>
      </c>
      <c r="K60" s="18" t="s">
        <v>306</v>
      </c>
      <c r="L60" s="19">
        <v>2</v>
      </c>
      <c r="M60" s="19">
        <v>95</v>
      </c>
      <c r="N60" s="20">
        <f t="shared" si="1"/>
        <v>190</v>
      </c>
      <c r="O60" s="17" t="s">
        <v>254</v>
      </c>
      <c r="P60" s="17">
        <v>5</v>
      </c>
      <c r="Q60" s="18" t="s">
        <v>41</v>
      </c>
      <c r="R60" s="18" t="s">
        <v>412</v>
      </c>
    </row>
    <row r="61" spans="1:18">
      <c r="A61" s="21" t="s">
        <v>463</v>
      </c>
      <c r="B61" s="21" t="s">
        <v>464</v>
      </c>
      <c r="C61" s="21" t="s">
        <v>246</v>
      </c>
      <c r="D61" s="22" t="s">
        <v>247</v>
      </c>
      <c r="E61" s="21" t="s">
        <v>287</v>
      </c>
      <c r="F61" s="22" t="s">
        <v>288</v>
      </c>
      <c r="G61" s="21" t="s">
        <v>289</v>
      </c>
      <c r="H61" s="22" t="s">
        <v>251</v>
      </c>
      <c r="I61" s="21">
        <v>1</v>
      </c>
      <c r="J61" s="22" t="s">
        <v>252</v>
      </c>
      <c r="K61" s="22" t="s">
        <v>218</v>
      </c>
      <c r="L61" s="23">
        <v>1</v>
      </c>
      <c r="M61" s="23">
        <v>350</v>
      </c>
      <c r="N61" s="24">
        <f t="shared" si="1"/>
        <v>350</v>
      </c>
      <c r="O61" s="21" t="s">
        <v>254</v>
      </c>
      <c r="P61" s="21">
        <v>5</v>
      </c>
      <c r="Q61" s="22" t="s">
        <v>41</v>
      </c>
      <c r="R61" s="22" t="s">
        <v>394</v>
      </c>
    </row>
    <row r="62" spans="1:18">
      <c r="A62" s="17" t="s">
        <v>463</v>
      </c>
      <c r="B62" s="17" t="s">
        <v>464</v>
      </c>
      <c r="C62" s="17" t="s">
        <v>246</v>
      </c>
      <c r="D62" s="18" t="s">
        <v>247</v>
      </c>
      <c r="E62" s="17" t="s">
        <v>287</v>
      </c>
      <c r="F62" s="18" t="s">
        <v>288</v>
      </c>
      <c r="G62" s="17" t="s">
        <v>289</v>
      </c>
      <c r="H62" s="18" t="s">
        <v>251</v>
      </c>
      <c r="I62" s="17">
        <v>2</v>
      </c>
      <c r="J62" s="18" t="s">
        <v>257</v>
      </c>
      <c r="K62" s="18" t="s">
        <v>258</v>
      </c>
      <c r="L62" s="19">
        <v>1</v>
      </c>
      <c r="M62" s="19">
        <v>25</v>
      </c>
      <c r="N62" s="20">
        <f t="shared" si="1"/>
        <v>25</v>
      </c>
      <c r="O62" s="17" t="s">
        <v>254</v>
      </c>
      <c r="P62" s="17">
        <v>5</v>
      </c>
      <c r="Q62" s="18" t="s">
        <v>41</v>
      </c>
      <c r="R62" s="18" t="s">
        <v>465</v>
      </c>
    </row>
    <row r="63" spans="1:18">
      <c r="A63" s="21" t="s">
        <v>466</v>
      </c>
      <c r="B63" s="21" t="s">
        <v>464</v>
      </c>
      <c r="C63" s="21" t="s">
        <v>246</v>
      </c>
      <c r="D63" s="22" t="s">
        <v>247</v>
      </c>
      <c r="E63" s="21" t="s">
        <v>281</v>
      </c>
      <c r="F63" s="22" t="s">
        <v>331</v>
      </c>
      <c r="G63" s="21" t="s">
        <v>162</v>
      </c>
      <c r="H63" s="22" t="s">
        <v>264</v>
      </c>
      <c r="I63" s="21">
        <v>1</v>
      </c>
      <c r="J63" s="22" t="s">
        <v>252</v>
      </c>
      <c r="K63" s="22" t="s">
        <v>265</v>
      </c>
      <c r="L63" s="23">
        <v>2</v>
      </c>
      <c r="M63" s="23">
        <v>85</v>
      </c>
      <c r="N63" s="24">
        <f t="shared" si="1"/>
        <v>170</v>
      </c>
      <c r="O63" s="21" t="s">
        <v>254</v>
      </c>
      <c r="P63" s="21">
        <v>4</v>
      </c>
      <c r="Q63" s="22" t="s">
        <v>41</v>
      </c>
      <c r="R63" s="22" t="s">
        <v>442</v>
      </c>
    </row>
    <row r="64" spans="1:18">
      <c r="A64" s="17" t="s">
        <v>466</v>
      </c>
      <c r="B64" s="17" t="s">
        <v>464</v>
      </c>
      <c r="C64" s="17" t="s">
        <v>246</v>
      </c>
      <c r="D64" s="18" t="s">
        <v>247</v>
      </c>
      <c r="E64" s="17" t="s">
        <v>281</v>
      </c>
      <c r="F64" s="18" t="s">
        <v>331</v>
      </c>
      <c r="G64" s="17" t="s">
        <v>162</v>
      </c>
      <c r="H64" s="18" t="s">
        <v>264</v>
      </c>
      <c r="I64" s="17">
        <v>2</v>
      </c>
      <c r="J64" s="18" t="s">
        <v>268</v>
      </c>
      <c r="K64" s="18" t="s">
        <v>269</v>
      </c>
      <c r="L64" s="19">
        <v>2</v>
      </c>
      <c r="M64" s="19">
        <v>65</v>
      </c>
      <c r="N64" s="20">
        <f t="shared" si="1"/>
        <v>130</v>
      </c>
      <c r="O64" s="17" t="s">
        <v>254</v>
      </c>
      <c r="P64" s="17">
        <v>4</v>
      </c>
      <c r="Q64" s="18" t="s">
        <v>41</v>
      </c>
      <c r="R64" s="18" t="s">
        <v>412</v>
      </c>
    </row>
    <row r="65" spans="1:18">
      <c r="A65" s="21" t="s">
        <v>467</v>
      </c>
      <c r="B65" s="21" t="s">
        <v>464</v>
      </c>
      <c r="C65" s="21" t="s">
        <v>246</v>
      </c>
      <c r="D65" s="22" t="s">
        <v>247</v>
      </c>
      <c r="E65" s="21" t="s">
        <v>468</v>
      </c>
      <c r="F65" s="22" t="s">
        <v>469</v>
      </c>
      <c r="G65" s="21" t="s">
        <v>470</v>
      </c>
      <c r="H65" s="22" t="s">
        <v>275</v>
      </c>
      <c r="I65" s="21">
        <v>1</v>
      </c>
      <c r="J65" s="22" t="s">
        <v>252</v>
      </c>
      <c r="K65" s="22" t="s">
        <v>471</v>
      </c>
      <c r="L65" s="23">
        <v>2</v>
      </c>
      <c r="M65" s="23">
        <v>590</v>
      </c>
      <c r="N65" s="24">
        <f t="shared" si="1"/>
        <v>1180</v>
      </c>
      <c r="O65" s="21" t="s">
        <v>254</v>
      </c>
      <c r="P65" s="21">
        <v>5</v>
      </c>
      <c r="Q65" s="22" t="s">
        <v>41</v>
      </c>
      <c r="R65" s="22" t="s">
        <v>427</v>
      </c>
    </row>
    <row r="66" spans="1:18">
      <c r="A66" s="17" t="s">
        <v>472</v>
      </c>
      <c r="B66" s="17" t="s">
        <v>464</v>
      </c>
      <c r="C66" s="17" t="s">
        <v>320</v>
      </c>
      <c r="D66" s="18" t="s">
        <v>321</v>
      </c>
      <c r="E66" s="17" t="s">
        <v>295</v>
      </c>
      <c r="F66" s="18" t="s">
        <v>296</v>
      </c>
      <c r="G66" s="17" t="s">
        <v>297</v>
      </c>
      <c r="H66" s="18" t="s">
        <v>251</v>
      </c>
      <c r="I66" s="17">
        <v>1</v>
      </c>
      <c r="J66" s="18" t="s">
        <v>252</v>
      </c>
      <c r="K66" s="18" t="s">
        <v>304</v>
      </c>
      <c r="L66" s="19">
        <v>4</v>
      </c>
      <c r="M66" s="19">
        <v>65</v>
      </c>
      <c r="N66" s="20">
        <f t="shared" ref="N66:N97" si="2">L66*M66</f>
        <v>260</v>
      </c>
      <c r="O66" s="17" t="s">
        <v>254</v>
      </c>
      <c r="P66" s="17">
        <v>5</v>
      </c>
      <c r="Q66" s="18" t="s">
        <v>41</v>
      </c>
      <c r="R66" s="18" t="s">
        <v>473</v>
      </c>
    </row>
    <row r="67" spans="1:18">
      <c r="A67" s="21" t="s">
        <v>474</v>
      </c>
      <c r="B67" s="21" t="s">
        <v>464</v>
      </c>
      <c r="C67" s="21" t="s">
        <v>320</v>
      </c>
      <c r="D67" s="22" t="s">
        <v>321</v>
      </c>
      <c r="E67" s="21" t="s">
        <v>342</v>
      </c>
      <c r="F67" s="22" t="s">
        <v>343</v>
      </c>
      <c r="G67" s="21" t="s">
        <v>344</v>
      </c>
      <c r="H67" s="22" t="s">
        <v>290</v>
      </c>
      <c r="I67" s="21">
        <v>1</v>
      </c>
      <c r="J67" s="22" t="s">
        <v>252</v>
      </c>
      <c r="K67" s="22" t="s">
        <v>145</v>
      </c>
      <c r="L67" s="23">
        <v>1</v>
      </c>
      <c r="M67" s="23">
        <v>420</v>
      </c>
      <c r="N67" s="24">
        <f t="shared" si="2"/>
        <v>420</v>
      </c>
      <c r="O67" s="21" t="s">
        <v>254</v>
      </c>
      <c r="P67" s="21">
        <v>4</v>
      </c>
      <c r="Q67" s="22" t="s">
        <v>41</v>
      </c>
      <c r="R67" s="22" t="s">
        <v>442</v>
      </c>
    </row>
    <row r="68" spans="1:18">
      <c r="A68" s="17" t="s">
        <v>474</v>
      </c>
      <c r="B68" s="17" t="s">
        <v>464</v>
      </c>
      <c r="C68" s="17" t="s">
        <v>320</v>
      </c>
      <c r="D68" s="18" t="s">
        <v>321</v>
      </c>
      <c r="E68" s="17" t="s">
        <v>342</v>
      </c>
      <c r="F68" s="18" t="s">
        <v>343</v>
      </c>
      <c r="G68" s="17" t="s">
        <v>344</v>
      </c>
      <c r="H68" s="18" t="s">
        <v>290</v>
      </c>
      <c r="I68" s="17">
        <v>2</v>
      </c>
      <c r="J68" s="18" t="s">
        <v>257</v>
      </c>
      <c r="K68" s="18" t="s">
        <v>358</v>
      </c>
      <c r="L68" s="19">
        <v>1</v>
      </c>
      <c r="M68" s="19">
        <v>30</v>
      </c>
      <c r="N68" s="20">
        <f t="shared" si="2"/>
        <v>30</v>
      </c>
      <c r="O68" s="17" t="s">
        <v>254</v>
      </c>
      <c r="P68" s="17">
        <v>4</v>
      </c>
      <c r="Q68" s="18" t="s">
        <v>41</v>
      </c>
      <c r="R68" s="18" t="s">
        <v>475</v>
      </c>
    </row>
    <row r="69" spans="1:18">
      <c r="A69" s="21" t="s">
        <v>476</v>
      </c>
      <c r="B69" s="21" t="s">
        <v>464</v>
      </c>
      <c r="C69" s="21" t="s">
        <v>362</v>
      </c>
      <c r="D69" s="22" t="s">
        <v>363</v>
      </c>
      <c r="E69" s="21" t="s">
        <v>391</v>
      </c>
      <c r="F69" s="22" t="s">
        <v>392</v>
      </c>
      <c r="G69" s="21" t="s">
        <v>393</v>
      </c>
      <c r="H69" s="22" t="s">
        <v>283</v>
      </c>
      <c r="I69" s="21">
        <v>1</v>
      </c>
      <c r="J69" s="22" t="s">
        <v>252</v>
      </c>
      <c r="K69" s="22" t="s">
        <v>477</v>
      </c>
      <c r="L69" s="23">
        <v>2</v>
      </c>
      <c r="M69" s="23">
        <v>350</v>
      </c>
      <c r="N69" s="24">
        <f t="shared" si="2"/>
        <v>700</v>
      </c>
      <c r="O69" s="21" t="s">
        <v>254</v>
      </c>
      <c r="P69" s="21">
        <v>5</v>
      </c>
      <c r="Q69" s="22" t="s">
        <v>41</v>
      </c>
      <c r="R69" s="22" t="s">
        <v>478</v>
      </c>
    </row>
    <row r="70" spans="1:18">
      <c r="A70" s="17" t="s">
        <v>479</v>
      </c>
      <c r="B70" s="17" t="s">
        <v>464</v>
      </c>
      <c r="C70" s="17" t="s">
        <v>362</v>
      </c>
      <c r="D70" s="18" t="s">
        <v>363</v>
      </c>
      <c r="E70" s="17" t="s">
        <v>375</v>
      </c>
      <c r="F70" s="18" t="s">
        <v>376</v>
      </c>
      <c r="G70" s="17" t="s">
        <v>377</v>
      </c>
      <c r="H70" s="18" t="s">
        <v>275</v>
      </c>
      <c r="I70" s="17">
        <v>1</v>
      </c>
      <c r="J70" s="18" t="s">
        <v>252</v>
      </c>
      <c r="K70" s="18" t="s">
        <v>284</v>
      </c>
      <c r="L70" s="19">
        <v>6</v>
      </c>
      <c r="M70" s="19">
        <v>45</v>
      </c>
      <c r="N70" s="20">
        <f t="shared" si="2"/>
        <v>270</v>
      </c>
      <c r="O70" s="17" t="s">
        <v>254</v>
      </c>
      <c r="P70" s="17">
        <v>5</v>
      </c>
      <c r="Q70" s="18" t="s">
        <v>41</v>
      </c>
      <c r="R70" s="18" t="s">
        <v>442</v>
      </c>
    </row>
    <row r="71" spans="1:18">
      <c r="A71" s="21" t="s">
        <v>479</v>
      </c>
      <c r="B71" s="21" t="s">
        <v>464</v>
      </c>
      <c r="C71" s="21" t="s">
        <v>362</v>
      </c>
      <c r="D71" s="22" t="s">
        <v>363</v>
      </c>
      <c r="E71" s="21" t="s">
        <v>375</v>
      </c>
      <c r="F71" s="22" t="s">
        <v>376</v>
      </c>
      <c r="G71" s="21" t="s">
        <v>377</v>
      </c>
      <c r="H71" s="22" t="s">
        <v>275</v>
      </c>
      <c r="I71" s="21">
        <v>2</v>
      </c>
      <c r="J71" s="22" t="s">
        <v>268</v>
      </c>
      <c r="K71" s="22" t="s">
        <v>333</v>
      </c>
      <c r="L71" s="23">
        <v>2</v>
      </c>
      <c r="M71" s="23">
        <v>85</v>
      </c>
      <c r="N71" s="24">
        <f t="shared" si="2"/>
        <v>170</v>
      </c>
      <c r="O71" s="21" t="s">
        <v>254</v>
      </c>
      <c r="P71" s="21">
        <v>5</v>
      </c>
      <c r="Q71" s="22" t="s">
        <v>41</v>
      </c>
      <c r="R71" s="22" t="s">
        <v>412</v>
      </c>
    </row>
    <row r="72" spans="1:18">
      <c r="A72" s="17" t="s">
        <v>480</v>
      </c>
      <c r="B72" s="17" t="s">
        <v>481</v>
      </c>
      <c r="C72" s="17" t="s">
        <v>246</v>
      </c>
      <c r="D72" s="18" t="s">
        <v>247</v>
      </c>
      <c r="E72" s="17" t="s">
        <v>384</v>
      </c>
      <c r="F72" s="18" t="s">
        <v>385</v>
      </c>
      <c r="G72" s="17" t="s">
        <v>386</v>
      </c>
      <c r="H72" s="18" t="s">
        <v>251</v>
      </c>
      <c r="I72" s="17">
        <v>1</v>
      </c>
      <c r="J72" s="18" t="s">
        <v>252</v>
      </c>
      <c r="K72" s="18" t="s">
        <v>291</v>
      </c>
      <c r="L72" s="19">
        <v>1</v>
      </c>
      <c r="M72" s="19">
        <v>590</v>
      </c>
      <c r="N72" s="20">
        <f t="shared" si="2"/>
        <v>590</v>
      </c>
      <c r="O72" s="17" t="s">
        <v>254</v>
      </c>
      <c r="P72" s="17">
        <v>5</v>
      </c>
      <c r="Q72" s="18" t="s">
        <v>41</v>
      </c>
      <c r="R72" s="18" t="s">
        <v>482</v>
      </c>
    </row>
    <row r="73" spans="1:18">
      <c r="A73" s="21" t="s">
        <v>483</v>
      </c>
      <c r="B73" s="21" t="s">
        <v>481</v>
      </c>
      <c r="C73" s="21" t="s">
        <v>246</v>
      </c>
      <c r="D73" s="22" t="s">
        <v>247</v>
      </c>
      <c r="E73" s="21" t="s">
        <v>484</v>
      </c>
      <c r="F73" s="22" t="s">
        <v>485</v>
      </c>
      <c r="G73" s="21" t="s">
        <v>486</v>
      </c>
      <c r="H73" s="22" t="s">
        <v>275</v>
      </c>
      <c r="I73" s="21">
        <v>1</v>
      </c>
      <c r="J73" s="22" t="s">
        <v>252</v>
      </c>
      <c r="K73" s="22" t="s">
        <v>253</v>
      </c>
      <c r="L73" s="23">
        <v>1</v>
      </c>
      <c r="M73" s="23">
        <v>350</v>
      </c>
      <c r="N73" s="24">
        <f t="shared" si="2"/>
        <v>350</v>
      </c>
      <c r="O73" s="21" t="s">
        <v>277</v>
      </c>
      <c r="P73" s="21">
        <v>4</v>
      </c>
      <c r="Q73" s="22" t="s">
        <v>41</v>
      </c>
      <c r="R73" s="22" t="s">
        <v>442</v>
      </c>
    </row>
    <row r="74" spans="1:18">
      <c r="A74" s="17" t="s">
        <v>483</v>
      </c>
      <c r="B74" s="17" t="s">
        <v>481</v>
      </c>
      <c r="C74" s="17" t="s">
        <v>246</v>
      </c>
      <c r="D74" s="18" t="s">
        <v>247</v>
      </c>
      <c r="E74" s="17" t="s">
        <v>484</v>
      </c>
      <c r="F74" s="18" t="s">
        <v>485</v>
      </c>
      <c r="G74" s="17" t="s">
        <v>486</v>
      </c>
      <c r="H74" s="18" t="s">
        <v>275</v>
      </c>
      <c r="I74" s="17">
        <v>2</v>
      </c>
      <c r="J74" s="18" t="s">
        <v>257</v>
      </c>
      <c r="K74" s="18" t="s">
        <v>258</v>
      </c>
      <c r="L74" s="19">
        <v>1</v>
      </c>
      <c r="M74" s="19">
        <v>25</v>
      </c>
      <c r="N74" s="20">
        <f t="shared" si="2"/>
        <v>25</v>
      </c>
      <c r="O74" s="17" t="s">
        <v>277</v>
      </c>
      <c r="P74" s="17">
        <v>4</v>
      </c>
      <c r="Q74" s="18" t="s">
        <v>41</v>
      </c>
      <c r="R74" s="18" t="s">
        <v>438</v>
      </c>
    </row>
    <row r="75" spans="1:18">
      <c r="A75" s="21" t="s">
        <v>487</v>
      </c>
      <c r="B75" s="21" t="s">
        <v>481</v>
      </c>
      <c r="C75" s="21" t="s">
        <v>320</v>
      </c>
      <c r="D75" s="22" t="s">
        <v>321</v>
      </c>
      <c r="E75" s="21" t="s">
        <v>348</v>
      </c>
      <c r="F75" s="22" t="s">
        <v>349</v>
      </c>
      <c r="G75" s="21" t="s">
        <v>350</v>
      </c>
      <c r="H75" s="22" t="s">
        <v>264</v>
      </c>
      <c r="I75" s="21">
        <v>1</v>
      </c>
      <c r="J75" s="22" t="s">
        <v>252</v>
      </c>
      <c r="K75" s="22" t="s">
        <v>265</v>
      </c>
      <c r="L75" s="23">
        <v>4</v>
      </c>
      <c r="M75" s="23">
        <v>85</v>
      </c>
      <c r="N75" s="24">
        <f t="shared" si="2"/>
        <v>340</v>
      </c>
      <c r="O75" s="21" t="s">
        <v>254</v>
      </c>
      <c r="P75" s="21">
        <v>5</v>
      </c>
      <c r="Q75" s="22" t="s">
        <v>41</v>
      </c>
      <c r="R75" s="22" t="s">
        <v>442</v>
      </c>
    </row>
    <row r="76" spans="1:18">
      <c r="A76" s="17" t="s">
        <v>487</v>
      </c>
      <c r="B76" s="17" t="s">
        <v>481</v>
      </c>
      <c r="C76" s="17" t="s">
        <v>320</v>
      </c>
      <c r="D76" s="18" t="s">
        <v>321</v>
      </c>
      <c r="E76" s="17" t="s">
        <v>348</v>
      </c>
      <c r="F76" s="18" t="s">
        <v>349</v>
      </c>
      <c r="G76" s="17" t="s">
        <v>350</v>
      </c>
      <c r="H76" s="18" t="s">
        <v>264</v>
      </c>
      <c r="I76" s="17">
        <v>2</v>
      </c>
      <c r="J76" s="18" t="s">
        <v>268</v>
      </c>
      <c r="K76" s="18" t="s">
        <v>306</v>
      </c>
      <c r="L76" s="19">
        <v>2</v>
      </c>
      <c r="M76" s="19">
        <v>95</v>
      </c>
      <c r="N76" s="20">
        <f t="shared" si="2"/>
        <v>190</v>
      </c>
      <c r="O76" s="17" t="s">
        <v>254</v>
      </c>
      <c r="P76" s="17">
        <v>5</v>
      </c>
      <c r="Q76" s="18" t="s">
        <v>41</v>
      </c>
      <c r="R76" s="18" t="s">
        <v>412</v>
      </c>
    </row>
    <row r="77" spans="1:18">
      <c r="A77" s="21" t="s">
        <v>488</v>
      </c>
      <c r="B77" s="21" t="s">
        <v>481</v>
      </c>
      <c r="C77" s="21" t="s">
        <v>320</v>
      </c>
      <c r="D77" s="22" t="s">
        <v>321</v>
      </c>
      <c r="E77" s="21" t="s">
        <v>281</v>
      </c>
      <c r="F77" s="22" t="s">
        <v>489</v>
      </c>
      <c r="G77" s="21" t="s">
        <v>162</v>
      </c>
      <c r="H77" s="22" t="s">
        <v>251</v>
      </c>
      <c r="I77" s="21">
        <v>1</v>
      </c>
      <c r="J77" s="22" t="s">
        <v>252</v>
      </c>
      <c r="K77" s="22" t="s">
        <v>284</v>
      </c>
      <c r="L77" s="23">
        <v>4</v>
      </c>
      <c r="M77" s="23">
        <v>45</v>
      </c>
      <c r="N77" s="24">
        <f t="shared" si="2"/>
        <v>180</v>
      </c>
      <c r="O77" s="21" t="s">
        <v>254</v>
      </c>
      <c r="P77" s="21">
        <v>4</v>
      </c>
      <c r="Q77" s="22" t="s">
        <v>41</v>
      </c>
      <c r="R77" s="22" t="s">
        <v>490</v>
      </c>
    </row>
    <row r="78" spans="1:18">
      <c r="A78" s="17" t="s">
        <v>491</v>
      </c>
      <c r="B78" s="17" t="s">
        <v>481</v>
      </c>
      <c r="C78" s="17" t="s">
        <v>362</v>
      </c>
      <c r="D78" s="18" t="s">
        <v>363</v>
      </c>
      <c r="E78" s="17" t="s">
        <v>364</v>
      </c>
      <c r="F78" s="18" t="s">
        <v>365</v>
      </c>
      <c r="G78" s="17" t="s">
        <v>366</v>
      </c>
      <c r="H78" s="18" t="s">
        <v>290</v>
      </c>
      <c r="I78" s="17">
        <v>1</v>
      </c>
      <c r="J78" s="18" t="s">
        <v>252</v>
      </c>
      <c r="K78" s="18" t="s">
        <v>218</v>
      </c>
      <c r="L78" s="19">
        <v>1</v>
      </c>
      <c r="M78" s="19">
        <v>350</v>
      </c>
      <c r="N78" s="20">
        <f t="shared" si="2"/>
        <v>350</v>
      </c>
      <c r="O78" s="17" t="s">
        <v>254</v>
      </c>
      <c r="P78" s="17">
        <v>5</v>
      </c>
      <c r="Q78" s="18" t="s">
        <v>41</v>
      </c>
      <c r="R78" s="18" t="s">
        <v>490</v>
      </c>
    </row>
    <row r="79" spans="1:18">
      <c r="A79" s="21" t="s">
        <v>492</v>
      </c>
      <c r="B79" s="21" t="s">
        <v>481</v>
      </c>
      <c r="C79" s="21" t="s">
        <v>362</v>
      </c>
      <c r="D79" s="22" t="s">
        <v>363</v>
      </c>
      <c r="E79" s="21" t="s">
        <v>262</v>
      </c>
      <c r="F79" s="22" t="s">
        <v>263</v>
      </c>
      <c r="G79" s="21" t="s">
        <v>162</v>
      </c>
      <c r="H79" s="22" t="s">
        <v>264</v>
      </c>
      <c r="I79" s="21">
        <v>1</v>
      </c>
      <c r="J79" s="22" t="s">
        <v>252</v>
      </c>
      <c r="K79" s="22" t="s">
        <v>304</v>
      </c>
      <c r="L79" s="23">
        <v>2</v>
      </c>
      <c r="M79" s="23">
        <v>65</v>
      </c>
      <c r="N79" s="24">
        <f t="shared" si="2"/>
        <v>130</v>
      </c>
      <c r="O79" s="21" t="s">
        <v>254</v>
      </c>
      <c r="P79" s="21">
        <v>5</v>
      </c>
      <c r="Q79" s="22" t="s">
        <v>41</v>
      </c>
      <c r="R79" s="22" t="s">
        <v>442</v>
      </c>
    </row>
    <row r="80" spans="1:18">
      <c r="A80" s="17" t="s">
        <v>492</v>
      </c>
      <c r="B80" s="17" t="s">
        <v>481</v>
      </c>
      <c r="C80" s="17" t="s">
        <v>362</v>
      </c>
      <c r="D80" s="18" t="s">
        <v>363</v>
      </c>
      <c r="E80" s="17" t="s">
        <v>262</v>
      </c>
      <c r="F80" s="18" t="s">
        <v>263</v>
      </c>
      <c r="G80" s="17" t="s">
        <v>162</v>
      </c>
      <c r="H80" s="18" t="s">
        <v>264</v>
      </c>
      <c r="I80" s="17">
        <v>2</v>
      </c>
      <c r="J80" s="18" t="s">
        <v>268</v>
      </c>
      <c r="K80" s="18" t="s">
        <v>269</v>
      </c>
      <c r="L80" s="19">
        <v>2</v>
      </c>
      <c r="M80" s="19">
        <v>65</v>
      </c>
      <c r="N80" s="20">
        <f t="shared" si="2"/>
        <v>130</v>
      </c>
      <c r="O80" s="17" t="s">
        <v>254</v>
      </c>
      <c r="P80" s="17">
        <v>5</v>
      </c>
      <c r="Q80" s="18" t="s">
        <v>41</v>
      </c>
      <c r="R80" s="18" t="s">
        <v>412</v>
      </c>
    </row>
    <row r="81" spans="1:18">
      <c r="A81" s="41" t="s">
        <v>493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25">
        <f>SUM(L2:L80)</f>
        <v>279</v>
      </c>
      <c r="M81" s="26" t="s">
        <v>41</v>
      </c>
      <c r="N81" s="25">
        <f>SUM(N2:N80)</f>
        <v>34960</v>
      </c>
      <c r="O81" s="26" t="s">
        <v>494</v>
      </c>
      <c r="P81" s="27">
        <f>AVERAGE(P2:P80)</f>
        <v>4.5063291139240507</v>
      </c>
      <c r="Q81" s="28" t="s">
        <v>495</v>
      </c>
      <c r="R81" s="28" t="s">
        <v>496</v>
      </c>
    </row>
  </sheetData>
  <mergeCells count="1">
    <mergeCell ref="A81:K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6" customWidth="1"/>
    <col min="4" max="4" width="38" customWidth="1"/>
    <col min="5" max="5" width="45" customWidth="1"/>
    <col min="6" max="7" width="55" customWidth="1"/>
    <col min="8" max="8" width="25" customWidth="1"/>
    <col min="9" max="9" width="55" customWidth="1"/>
  </cols>
  <sheetData>
    <row r="1" spans="1:9">
      <c r="A1" s="29" t="s">
        <v>497</v>
      </c>
      <c r="B1" s="29" t="s">
        <v>498</v>
      </c>
      <c r="C1" s="29" t="s">
        <v>499</v>
      </c>
      <c r="D1" s="29" t="s">
        <v>500</v>
      </c>
      <c r="E1" s="29" t="s">
        <v>501</v>
      </c>
      <c r="F1" s="29" t="s">
        <v>502</v>
      </c>
      <c r="G1" s="29" t="s">
        <v>503</v>
      </c>
      <c r="H1" s="29" t="s">
        <v>504</v>
      </c>
      <c r="I1" s="29" t="s">
        <v>505</v>
      </c>
    </row>
    <row r="2" spans="1:9">
      <c r="A2" s="30" t="s">
        <v>506</v>
      </c>
      <c r="B2" s="30" t="s">
        <v>507</v>
      </c>
      <c r="C2" s="31" t="s">
        <v>508</v>
      </c>
      <c r="D2" s="30" t="s">
        <v>509</v>
      </c>
      <c r="E2" s="31" t="s">
        <v>510</v>
      </c>
      <c r="F2" s="31" t="s">
        <v>511</v>
      </c>
      <c r="G2" s="31" t="s">
        <v>512</v>
      </c>
      <c r="H2" s="30" t="s">
        <v>513</v>
      </c>
      <c r="I2" s="31" t="s">
        <v>514</v>
      </c>
    </row>
    <row r="3" spans="1:9">
      <c r="A3" s="21" t="s">
        <v>515</v>
      </c>
      <c r="B3" s="21" t="s">
        <v>516</v>
      </c>
      <c r="C3" s="22" t="s">
        <v>517</v>
      </c>
      <c r="D3" s="21" t="s">
        <v>518</v>
      </c>
      <c r="E3" s="22" t="s">
        <v>519</v>
      </c>
      <c r="F3" s="22" t="s">
        <v>520</v>
      </c>
      <c r="G3" s="22" t="s">
        <v>521</v>
      </c>
      <c r="H3" s="21" t="s">
        <v>522</v>
      </c>
      <c r="I3" s="22" t="s">
        <v>523</v>
      </c>
    </row>
    <row r="4" spans="1:9">
      <c r="A4" s="30" t="s">
        <v>524</v>
      </c>
      <c r="B4" s="30" t="s">
        <v>525</v>
      </c>
      <c r="C4" s="31" t="s">
        <v>526</v>
      </c>
      <c r="D4" s="30" t="s">
        <v>527</v>
      </c>
      <c r="E4" s="31" t="s">
        <v>528</v>
      </c>
      <c r="F4" s="31" t="s">
        <v>529</v>
      </c>
      <c r="G4" s="31" t="s">
        <v>530</v>
      </c>
      <c r="H4" s="30" t="s">
        <v>531</v>
      </c>
      <c r="I4" s="31" t="s">
        <v>532</v>
      </c>
    </row>
    <row r="5" spans="1:9">
      <c r="A5" s="21" t="s">
        <v>533</v>
      </c>
      <c r="B5" s="21" t="s">
        <v>534</v>
      </c>
      <c r="C5" s="22" t="s">
        <v>535</v>
      </c>
      <c r="D5" s="21" t="s">
        <v>536</v>
      </c>
      <c r="E5" s="22" t="s">
        <v>537</v>
      </c>
      <c r="F5" s="22" t="s">
        <v>538</v>
      </c>
      <c r="G5" s="22" t="s">
        <v>539</v>
      </c>
      <c r="H5" s="21" t="s">
        <v>540</v>
      </c>
      <c r="I5" s="22" t="s">
        <v>541</v>
      </c>
    </row>
    <row r="6" spans="1:9">
      <c r="A6" s="30" t="s">
        <v>542</v>
      </c>
      <c r="B6" s="30" t="s">
        <v>543</v>
      </c>
      <c r="C6" s="31" t="s">
        <v>544</v>
      </c>
      <c r="D6" s="30" t="s">
        <v>545</v>
      </c>
      <c r="E6" s="31" t="s">
        <v>546</v>
      </c>
      <c r="F6" s="31" t="s">
        <v>547</v>
      </c>
      <c r="G6" s="31" t="s">
        <v>548</v>
      </c>
      <c r="H6" s="30" t="s">
        <v>513</v>
      </c>
      <c r="I6" s="31" t="s">
        <v>549</v>
      </c>
    </row>
    <row r="7" spans="1:9">
      <c r="A7" s="21" t="s">
        <v>550</v>
      </c>
      <c r="B7" s="21" t="s">
        <v>551</v>
      </c>
      <c r="C7" s="22" t="s">
        <v>552</v>
      </c>
      <c r="D7" s="21" t="s">
        <v>553</v>
      </c>
      <c r="E7" s="22" t="s">
        <v>554</v>
      </c>
      <c r="F7" s="22" t="s">
        <v>555</v>
      </c>
      <c r="G7" s="22" t="s">
        <v>556</v>
      </c>
      <c r="H7" s="21" t="s">
        <v>522</v>
      </c>
      <c r="I7" s="22" t="s">
        <v>557</v>
      </c>
    </row>
    <row r="8" spans="1:9">
      <c r="A8" s="30" t="s">
        <v>558</v>
      </c>
      <c r="B8" s="30" t="s">
        <v>559</v>
      </c>
      <c r="C8" s="31" t="s">
        <v>560</v>
      </c>
      <c r="D8" s="30" t="s">
        <v>561</v>
      </c>
      <c r="E8" s="31" t="s">
        <v>562</v>
      </c>
      <c r="F8" s="31" t="s">
        <v>563</v>
      </c>
      <c r="G8" s="31" t="s">
        <v>564</v>
      </c>
      <c r="H8" s="30" t="s">
        <v>531</v>
      </c>
      <c r="I8" s="31" t="s">
        <v>565</v>
      </c>
    </row>
    <row r="9" spans="1:9">
      <c r="A9" s="21" t="s">
        <v>566</v>
      </c>
      <c r="B9" s="21" t="s">
        <v>567</v>
      </c>
      <c r="C9" s="22" t="s">
        <v>568</v>
      </c>
      <c r="D9" s="21" t="s">
        <v>569</v>
      </c>
      <c r="E9" s="22" t="s">
        <v>570</v>
      </c>
      <c r="F9" s="22" t="s">
        <v>571</v>
      </c>
      <c r="G9" s="22" t="s">
        <v>572</v>
      </c>
      <c r="H9" s="21" t="s">
        <v>573</v>
      </c>
      <c r="I9" s="22" t="s">
        <v>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21"/>
  <sheetViews>
    <sheetView workbookViewId="0"/>
  </sheetViews>
  <sheetFormatPr defaultRowHeight="15"/>
  <cols>
    <col min="1" max="1" width="5" customWidth="1"/>
    <col min="2" max="2" width="42" customWidth="1"/>
    <col min="3" max="3" width="100" customWidth="1"/>
  </cols>
  <sheetData>
    <row r="2" spans="1:3" ht="409.5">
      <c r="A2" s="32" t="s">
        <v>575</v>
      </c>
    </row>
    <row r="3" spans="1:3" ht="409.5">
      <c r="A3" s="33" t="s">
        <v>576</v>
      </c>
    </row>
    <row r="5" spans="1:3" ht="25.5">
      <c r="B5" s="34" t="s">
        <v>577</v>
      </c>
      <c r="C5" s="35" t="s">
        <v>578</v>
      </c>
    </row>
    <row r="7" spans="1:3" ht="25.5">
      <c r="B7" s="34" t="s">
        <v>579</v>
      </c>
      <c r="C7" s="35" t="s">
        <v>580</v>
      </c>
    </row>
    <row r="9" spans="1:3" ht="38.25">
      <c r="B9" s="34" t="s">
        <v>581</v>
      </c>
      <c r="C9" s="35" t="s">
        <v>582</v>
      </c>
    </row>
    <row r="11" spans="1:3" ht="38.25">
      <c r="B11" s="34" t="s">
        <v>583</v>
      </c>
      <c r="C11" s="35" t="s">
        <v>584</v>
      </c>
    </row>
    <row r="13" spans="1:3" ht="38.25">
      <c r="B13" s="34" t="s">
        <v>585</v>
      </c>
      <c r="C13" s="35" t="s">
        <v>586</v>
      </c>
    </row>
    <row r="15" spans="1:3" ht="38.25">
      <c r="B15" s="34" t="s">
        <v>587</v>
      </c>
      <c r="C15" s="35" t="s">
        <v>588</v>
      </c>
    </row>
    <row r="17" spans="2:3" ht="38.25">
      <c r="B17" s="34" t="s">
        <v>589</v>
      </c>
      <c r="C17" s="35" t="s">
        <v>590</v>
      </c>
    </row>
    <row r="19" spans="2:3" ht="38.25">
      <c r="B19" s="34" t="s">
        <v>591</v>
      </c>
      <c r="C19" s="35" t="s">
        <v>592</v>
      </c>
    </row>
    <row r="21" spans="2:3" ht="38.25">
      <c r="B21" s="34" t="s">
        <v>593</v>
      </c>
      <c r="C21" s="34" t="s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raw_data_with_all_traps</vt:lpstr>
      <vt:lpstr>tidy_data_solution</vt:lpstr>
      <vt:lpstr>tidy_transformation_log</vt:lpstr>
      <vt:lpstr>คำอธิบายข้อผิดพลาด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Surachai ABC</cp:lastModifiedBy>
  <dcterms:created xsi:type="dcterms:W3CDTF">2026-09-22T20:03:06Z</dcterms:created>
  <dcterms:modified xsi:type="dcterms:W3CDTF">2026-09-22T20:05:58Z</dcterms:modified>
</cp:coreProperties>
</file>